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C16" i="1"/>
  <c r="D16" i="1"/>
  <c r="E16" i="1"/>
  <c r="F16" i="1"/>
  <c r="G16" i="1"/>
  <c r="H16" i="1"/>
  <c r="B16" i="1"/>
  <c r="E15" i="1"/>
  <c r="F15" i="1"/>
  <c r="G15" i="1"/>
  <c r="H15" i="1"/>
  <c r="D15" i="1"/>
  <c r="B15" i="1"/>
  <c r="D14" i="1"/>
  <c r="E14" i="1"/>
  <c r="F14" i="1"/>
  <c r="G14" i="1"/>
  <c r="H14" i="1"/>
  <c r="B14" i="1"/>
  <c r="D13" i="1"/>
  <c r="E13" i="1"/>
  <c r="F13" i="1"/>
  <c r="G13" i="1"/>
  <c r="H13" i="1"/>
  <c r="B13" i="1"/>
  <c r="D12" i="1"/>
  <c r="E12" i="1"/>
  <c r="F12" i="1"/>
  <c r="G12" i="1"/>
  <c r="H12" i="1"/>
  <c r="B12" i="1"/>
  <c r="D11" i="1"/>
  <c r="E11" i="1"/>
  <c r="F11" i="1"/>
  <c r="G11" i="1"/>
  <c r="H11" i="1"/>
  <c r="B11" i="1"/>
</calcChain>
</file>

<file path=xl/sharedStrings.xml><?xml version="1.0" encoding="utf-8"?>
<sst xmlns="http://schemas.openxmlformats.org/spreadsheetml/2006/main" count="31" uniqueCount="28">
  <si>
    <t>CEREAL</t>
  </si>
  <si>
    <t>BUYING PRICE</t>
  </si>
  <si>
    <t>QUANTITY</t>
  </si>
  <si>
    <t>VAT</t>
  </si>
  <si>
    <t>SELLING PRICE EX-VAT</t>
  </si>
  <si>
    <t>SELLING PRICE IN-VAT</t>
  </si>
  <si>
    <t>EXPENSE</t>
  </si>
  <si>
    <t>PROFIT</t>
  </si>
  <si>
    <t>Maize</t>
  </si>
  <si>
    <t>Beans</t>
  </si>
  <si>
    <t>Rice</t>
  </si>
  <si>
    <t>Greengrams</t>
  </si>
  <si>
    <t>Groundnuts</t>
  </si>
  <si>
    <t>Sorghum</t>
  </si>
  <si>
    <t>Cassava</t>
  </si>
  <si>
    <t>90kg</t>
  </si>
  <si>
    <t>50kg</t>
  </si>
  <si>
    <t>20kg</t>
  </si>
  <si>
    <t>20tins</t>
  </si>
  <si>
    <t>Potatoes</t>
  </si>
  <si>
    <t>1sack</t>
  </si>
  <si>
    <t>SUM</t>
  </si>
  <si>
    <t>MAX</t>
  </si>
  <si>
    <t>MIN</t>
  </si>
  <si>
    <t>MEAN</t>
  </si>
  <si>
    <t>MODE</t>
  </si>
  <si>
    <t>SUM IF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</si>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</sst>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selection activeCell="I18" sqref="I18"/>
    </sheetView>
  </sheetViews>
  <sheetFormatPr defaultRowHeight="15" x14ac:dyDescent="0.25"/>
  <cols>
    <col min="1" max="1" width="11.7109375" bestFit="1" customWidth="1"/>
    <col min="2" max="2" width="13.7109375" bestFit="1" customWidth="1"/>
    <col min="3" max="3" width="10.28515625" bestFit="1" customWidth="1"/>
    <col min="5" max="5" width="20.7109375" bestFit="1" customWidth="1"/>
    <col min="6" max="6" width="2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27</v>
      </c>
    </row>
    <row r="2" spans="1:9" x14ac:dyDescent="0.25">
      <c r="A2" t="s">
        <v>8</v>
      </c>
      <c r="B2">
        <v>3600</v>
      </c>
      <c r="C2" t="s">
        <v>15</v>
      </c>
      <c r="D2">
        <v>576</v>
      </c>
      <c r="E2">
        <v>5400</v>
      </c>
      <c r="F2">
        <v>5976</v>
      </c>
      <c r="G2">
        <v>200</v>
      </c>
      <c r="H2">
        <v>1600</v>
      </c>
      <c r="I2" t="str">
        <f>IF(H2&gt;=1500,"PASS","FAIL")</f>
        <v>PASS</v>
      </c>
    </row>
    <row r="3" spans="1:9" x14ac:dyDescent="0.25">
      <c r="A3" t="s">
        <v>9</v>
      </c>
      <c r="B3">
        <v>6300</v>
      </c>
      <c r="C3" t="s">
        <v>15</v>
      </c>
      <c r="D3">
        <v>1008</v>
      </c>
      <c r="E3">
        <v>9000</v>
      </c>
      <c r="F3">
        <v>10008</v>
      </c>
      <c r="G3">
        <v>300</v>
      </c>
      <c r="H3">
        <v>2400</v>
      </c>
      <c r="I3" t="str">
        <f t="shared" ref="I3:I9" si="0">IF(H3&gt;=1500,"PASS","FAIL")</f>
        <v>PASS</v>
      </c>
    </row>
    <row r="4" spans="1:9" x14ac:dyDescent="0.25">
      <c r="A4" t="s">
        <v>10</v>
      </c>
      <c r="B4">
        <v>8500</v>
      </c>
      <c r="C4" t="s">
        <v>16</v>
      </c>
      <c r="D4">
        <v>1360</v>
      </c>
      <c r="E4">
        <v>10000</v>
      </c>
      <c r="F4">
        <v>11360</v>
      </c>
      <c r="G4">
        <v>200</v>
      </c>
      <c r="H4">
        <v>1300</v>
      </c>
      <c r="I4" t="str">
        <f t="shared" si="0"/>
        <v>FAIL</v>
      </c>
    </row>
    <row r="5" spans="1:9" x14ac:dyDescent="0.25">
      <c r="A5" t="s">
        <v>11</v>
      </c>
      <c r="B5">
        <v>6500</v>
      </c>
      <c r="C5" t="s">
        <v>16</v>
      </c>
      <c r="D5">
        <v>1040</v>
      </c>
      <c r="E5">
        <v>9000</v>
      </c>
      <c r="F5">
        <v>10040</v>
      </c>
      <c r="G5">
        <v>150</v>
      </c>
      <c r="H5">
        <v>2350</v>
      </c>
      <c r="I5" t="str">
        <f t="shared" si="0"/>
        <v>PASS</v>
      </c>
    </row>
    <row r="6" spans="1:9" x14ac:dyDescent="0.25">
      <c r="A6" t="s">
        <v>12</v>
      </c>
      <c r="B6">
        <v>4000</v>
      </c>
      <c r="C6" t="s">
        <v>17</v>
      </c>
      <c r="D6">
        <v>640</v>
      </c>
      <c r="E6">
        <v>6000</v>
      </c>
      <c r="F6">
        <v>6640</v>
      </c>
      <c r="G6">
        <v>100</v>
      </c>
      <c r="H6">
        <v>1900</v>
      </c>
      <c r="I6" t="str">
        <f t="shared" si="0"/>
        <v>PASS</v>
      </c>
    </row>
    <row r="7" spans="1:9" x14ac:dyDescent="0.25">
      <c r="A7" t="s">
        <v>13</v>
      </c>
      <c r="B7">
        <v>4000</v>
      </c>
      <c r="C7" t="s">
        <v>16</v>
      </c>
      <c r="D7">
        <v>640</v>
      </c>
      <c r="E7">
        <v>6000</v>
      </c>
      <c r="F7">
        <v>6640</v>
      </c>
      <c r="G7">
        <v>250</v>
      </c>
      <c r="H7">
        <v>1750</v>
      </c>
      <c r="I7" t="str">
        <f t="shared" si="0"/>
        <v>PASS</v>
      </c>
    </row>
    <row r="8" spans="1:9" x14ac:dyDescent="0.25">
      <c r="A8" t="s">
        <v>14</v>
      </c>
      <c r="B8">
        <v>3000</v>
      </c>
      <c r="C8" t="s">
        <v>18</v>
      </c>
      <c r="D8">
        <v>480</v>
      </c>
      <c r="E8">
        <v>4000</v>
      </c>
      <c r="F8">
        <v>4480</v>
      </c>
      <c r="G8">
        <v>100</v>
      </c>
      <c r="H8">
        <v>900</v>
      </c>
      <c r="I8" t="str">
        <f t="shared" si="0"/>
        <v>FAIL</v>
      </c>
    </row>
    <row r="9" spans="1:9" x14ac:dyDescent="0.25">
      <c r="A9" t="s">
        <v>19</v>
      </c>
      <c r="B9">
        <v>3500</v>
      </c>
      <c r="C9" t="s">
        <v>20</v>
      </c>
      <c r="D9">
        <v>560</v>
      </c>
      <c r="E9">
        <v>5000</v>
      </c>
      <c r="F9">
        <v>5560</v>
      </c>
      <c r="G9">
        <v>250</v>
      </c>
      <c r="H9">
        <v>1250</v>
      </c>
      <c r="I9" t="str">
        <f t="shared" si="0"/>
        <v>FAIL</v>
      </c>
    </row>
    <row r="11" spans="1:9" x14ac:dyDescent="0.25">
      <c r="A11" s="1" t="s">
        <v>21</v>
      </c>
      <c r="B11">
        <f>SUM(B2:B9)</f>
        <v>39400</v>
      </c>
      <c r="D11">
        <f t="shared" ref="C11:H11" si="1">SUM(D2:D9)</f>
        <v>6304</v>
      </c>
      <c r="E11">
        <f t="shared" si="1"/>
        <v>54400</v>
      </c>
      <c r="F11">
        <f t="shared" si="1"/>
        <v>60704</v>
      </c>
      <c r="G11">
        <f t="shared" si="1"/>
        <v>1550</v>
      </c>
      <c r="H11">
        <f t="shared" si="1"/>
        <v>13450</v>
      </c>
    </row>
    <row r="12" spans="1:9" x14ac:dyDescent="0.25">
      <c r="A12" s="1" t="s">
        <v>22</v>
      </c>
      <c r="B12">
        <f>MAX(B2:B9)</f>
        <v>8500</v>
      </c>
      <c r="D12">
        <f t="shared" ref="C12:H12" si="2">MAX(D2:D9)</f>
        <v>1360</v>
      </c>
      <c r="E12">
        <f t="shared" si="2"/>
        <v>10000</v>
      </c>
      <c r="F12">
        <f t="shared" si="2"/>
        <v>11360</v>
      </c>
      <c r="G12">
        <f t="shared" si="2"/>
        <v>300</v>
      </c>
      <c r="H12">
        <f t="shared" si="2"/>
        <v>2400</v>
      </c>
    </row>
    <row r="13" spans="1:9" x14ac:dyDescent="0.25">
      <c r="A13" s="1" t="s">
        <v>23</v>
      </c>
      <c r="B13">
        <f>MIN(B2:B9)</f>
        <v>3000</v>
      </c>
      <c r="D13">
        <f t="shared" ref="C13:I13" si="3">MIN(D2:D9)</f>
        <v>480</v>
      </c>
      <c r="E13">
        <f t="shared" si="3"/>
        <v>4000</v>
      </c>
      <c r="F13">
        <f t="shared" si="3"/>
        <v>4480</v>
      </c>
      <c r="G13">
        <f t="shared" si="3"/>
        <v>100</v>
      </c>
      <c r="H13">
        <f t="shared" si="3"/>
        <v>900</v>
      </c>
    </row>
    <row r="14" spans="1:9" x14ac:dyDescent="0.25">
      <c r="A14" s="1" t="s">
        <v>24</v>
      </c>
      <c r="B14">
        <f>AVERAGE(B2:B9)</f>
        <v>4925</v>
      </c>
      <c r="D14">
        <f t="shared" ref="C14:H14" si="4">AVERAGE(D2:D9)</f>
        <v>788</v>
      </c>
      <c r="E14">
        <f t="shared" si="4"/>
        <v>6800</v>
      </c>
      <c r="F14">
        <f t="shared" si="4"/>
        <v>7588</v>
      </c>
      <c r="G14">
        <f t="shared" si="4"/>
        <v>193.75</v>
      </c>
      <c r="H14">
        <f t="shared" si="4"/>
        <v>1681.25</v>
      </c>
    </row>
    <row r="15" spans="1:9" x14ac:dyDescent="0.25">
      <c r="A15" s="1" t="s">
        <v>25</v>
      </c>
      <c r="B15">
        <f>MODE(B2:B9)</f>
        <v>4000</v>
      </c>
      <c r="D15">
        <f>MODE(D2:D9)</f>
        <v>640</v>
      </c>
      <c r="E15">
        <f t="shared" ref="E15:H15" si="5">MODE(E2:E9)</f>
        <v>9000</v>
      </c>
      <c r="F15">
        <f t="shared" si="5"/>
        <v>6640</v>
      </c>
      <c r="G15">
        <f t="shared" si="5"/>
        <v>200</v>
      </c>
      <c r="H15" t="e">
        <f t="shared" si="5"/>
        <v>#N/A</v>
      </c>
    </row>
    <row r="16" spans="1:9" x14ac:dyDescent="0.25">
      <c r="A16" s="1" t="s">
        <v>26</v>
      </c>
      <c r="B16">
        <f>SUMIF(B2:B9,"&gt;=5000")</f>
        <v>21300</v>
      </c>
      <c r="C16">
        <f t="shared" ref="C16:H16" si="6">SUMIF(C2:C9,"&gt;=5000")</f>
        <v>0</v>
      </c>
      <c r="D16">
        <f t="shared" si="6"/>
        <v>0</v>
      </c>
      <c r="E16">
        <f t="shared" si="6"/>
        <v>50400</v>
      </c>
      <c r="F16">
        <f t="shared" si="6"/>
        <v>56224</v>
      </c>
      <c r="G16">
        <f t="shared" si="6"/>
        <v>0</v>
      </c>
      <c r="H16">
        <f t="shared" si="6"/>
        <v>0</v>
      </c>
    </row>
    <row r="17" spans="1:1" x14ac:dyDescent="0.25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2026-10-14T05:03:37Z</dcterms:created>
  <dcterms:modified xsi:type="dcterms:W3CDTF">2026-10-14T06:31:10Z</dcterms:modified>
</cp:coreProperties>
</file>