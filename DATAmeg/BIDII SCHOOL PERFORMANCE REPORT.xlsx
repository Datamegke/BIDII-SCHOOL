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ATAmeg\"/>
    </mc:Choice>
  </mc:AlternateContent>
  <bookViews>
    <workbookView xWindow="0" yWindow="0" windowWidth="20490" windowHeight="7530"/>
  </bookViews>
  <sheets>
    <sheet name="Sheet2" sheetId="2" r:id="rId1"/>
    <sheet name="Sheet1" sheetId="1" r:id="rId2"/>
  </sheets>
  <definedNames>
    <definedName name="_xlcn.WorksheetConnection_Sheet1A1N511" hidden="1">Sheet1!$A$1:$N$51</definedName>
  </definedNames>
  <calcPr calcId="162913"/>
  <pivotCaches>
    <pivotCache cacheId="6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N$51"/>
        </x15:modelTables>
      </x15:dataModel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B62" i="1"/>
  <c r="B61" i="1"/>
  <c r="C60" i="1" l="1"/>
  <c r="D60" i="1"/>
  <c r="E60" i="1"/>
  <c r="F60" i="1"/>
  <c r="G60" i="1"/>
  <c r="H60" i="1"/>
  <c r="I60" i="1"/>
  <c r="J60" i="1"/>
  <c r="K60" i="1"/>
  <c r="L60" i="1"/>
  <c r="B60" i="1"/>
  <c r="C59" i="1"/>
  <c r="D59" i="1"/>
  <c r="E59" i="1"/>
  <c r="F59" i="1"/>
  <c r="G59" i="1"/>
  <c r="H59" i="1"/>
  <c r="I59" i="1"/>
  <c r="J59" i="1"/>
  <c r="K59" i="1"/>
  <c r="L59" i="1"/>
  <c r="B59" i="1"/>
  <c r="C58" i="1"/>
  <c r="D58" i="1"/>
  <c r="E58" i="1"/>
  <c r="F58" i="1"/>
  <c r="G58" i="1"/>
  <c r="H58" i="1"/>
  <c r="I58" i="1"/>
  <c r="J58" i="1"/>
  <c r="K58" i="1"/>
  <c r="L58" i="1"/>
  <c r="B58" i="1"/>
  <c r="C57" i="1"/>
  <c r="D57" i="1"/>
  <c r="E57" i="1"/>
  <c r="F57" i="1"/>
  <c r="G57" i="1"/>
  <c r="H57" i="1"/>
  <c r="I57" i="1"/>
  <c r="J57" i="1"/>
  <c r="K57" i="1"/>
  <c r="L57" i="1"/>
  <c r="B57" i="1"/>
  <c r="C56" i="1"/>
  <c r="D56" i="1"/>
  <c r="E56" i="1"/>
  <c r="F56" i="1"/>
  <c r="G56" i="1"/>
  <c r="H56" i="1"/>
  <c r="I56" i="1"/>
  <c r="J56" i="1"/>
  <c r="K56" i="1"/>
  <c r="L56" i="1"/>
  <c r="B56" i="1"/>
  <c r="C55" i="1"/>
  <c r="D55" i="1"/>
  <c r="E55" i="1"/>
  <c r="F55" i="1"/>
  <c r="G55" i="1"/>
  <c r="H55" i="1"/>
  <c r="I55" i="1"/>
  <c r="J55" i="1"/>
  <c r="K55" i="1"/>
  <c r="L55" i="1"/>
  <c r="B55" i="1"/>
  <c r="C54" i="1"/>
  <c r="D54" i="1"/>
  <c r="E54" i="1"/>
  <c r="F54" i="1"/>
  <c r="G54" i="1"/>
  <c r="H54" i="1"/>
  <c r="I54" i="1"/>
  <c r="J54" i="1"/>
  <c r="K54" i="1"/>
  <c r="L54" i="1"/>
  <c r="B54" i="1"/>
  <c r="C53" i="1"/>
  <c r="D53" i="1"/>
  <c r="E53" i="1"/>
  <c r="F53" i="1"/>
  <c r="G53" i="1"/>
  <c r="H53" i="1"/>
  <c r="I53" i="1"/>
  <c r="J53" i="1"/>
  <c r="K53" i="1"/>
  <c r="L53" i="1"/>
  <c r="B5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N$5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N5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REMARKS].&amp;[PAS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<sst xmlns="http://schemas.openxmlformats.org/spreadsheetml/2006/main" count="132" uniqueCount="89">
  <si>
    <t>NAME</t>
  </si>
  <si>
    <t>MATHS</t>
  </si>
  <si>
    <t>ENGLISH</t>
  </si>
  <si>
    <t>KISWAHILI</t>
  </si>
  <si>
    <t>BIOLOGY</t>
  </si>
  <si>
    <t>CHEMISTRY</t>
  </si>
  <si>
    <t>HISTORY</t>
  </si>
  <si>
    <t>CRE</t>
  </si>
  <si>
    <t>GEOGRAPHY</t>
  </si>
  <si>
    <t>COMPUTER</t>
  </si>
  <si>
    <t>H/SCIENCE</t>
  </si>
  <si>
    <t>AGRICULTURE</t>
  </si>
  <si>
    <t>Chistine Waweru</t>
  </si>
  <si>
    <t>Calvince Ochieng</t>
  </si>
  <si>
    <t>Rosemary Atieno</t>
  </si>
  <si>
    <t>Mary Clare</t>
  </si>
  <si>
    <t>Caxton Wafula</t>
  </si>
  <si>
    <t>Midco Kuss</t>
  </si>
  <si>
    <t>Beryl Owoko</t>
  </si>
  <si>
    <t>Alice Achieng</t>
  </si>
  <si>
    <t>Clay Odhiambo</t>
  </si>
  <si>
    <t>Brandon Wasike</t>
  </si>
  <si>
    <t>Brian Koech</t>
  </si>
  <si>
    <t>Margaret Mwende</t>
  </si>
  <si>
    <t>Mary Muchemi</t>
  </si>
  <si>
    <t>Esther Brenda</t>
  </si>
  <si>
    <t>Collins Odiero</t>
  </si>
  <si>
    <t>Lucille Otieno</t>
  </si>
  <si>
    <t>Vitalia Paula</t>
  </si>
  <si>
    <t>Alban Ochieng</t>
  </si>
  <si>
    <t>Norbert Kowejee</t>
  </si>
  <si>
    <t>Catherine Juma</t>
  </si>
  <si>
    <t>Brenda Atieno</t>
  </si>
  <si>
    <t>John Otieno</t>
  </si>
  <si>
    <t>Lameck Kanango</t>
  </si>
  <si>
    <t>Alphonce Otieno</t>
  </si>
  <si>
    <t>William Wilfred</t>
  </si>
  <si>
    <t>Asha Gladys</t>
  </si>
  <si>
    <t>Faustine Aluoch</t>
  </si>
  <si>
    <t>Maurice Okello</t>
  </si>
  <si>
    <t>Adrian Johnstone</t>
  </si>
  <si>
    <t>Presly Shalline</t>
  </si>
  <si>
    <t>Irine Nikita</t>
  </si>
  <si>
    <t>Vallary Achieng</t>
  </si>
  <si>
    <t>Celestine Oginga</t>
  </si>
  <si>
    <t>Mary Margaret</t>
  </si>
  <si>
    <t xml:space="preserve">Rose Faustine </t>
  </si>
  <si>
    <t>Mercy waeni</t>
  </si>
  <si>
    <t>Gabriel Onyango</t>
  </si>
  <si>
    <t>Roman Ochieng</t>
  </si>
  <si>
    <t>Luke Onyango</t>
  </si>
  <si>
    <t>Phanuel Maxwel</t>
  </si>
  <si>
    <t>Emerald Awino</t>
  </si>
  <si>
    <t>Estelle Glory</t>
  </si>
  <si>
    <t>David Major</t>
  </si>
  <si>
    <t>Domnic Mbooya</t>
  </si>
  <si>
    <t>Peter Kargungs</t>
  </si>
  <si>
    <t>Robinson Mambo</t>
  </si>
  <si>
    <t>Lucy Mwangi</t>
  </si>
  <si>
    <t>Victoria Rubadiri</t>
  </si>
  <si>
    <t>Annabel Ngendo</t>
  </si>
  <si>
    <t>MEAN</t>
  </si>
  <si>
    <t>MODE</t>
  </si>
  <si>
    <t>MAX</t>
  </si>
  <si>
    <t>MIN</t>
  </si>
  <si>
    <t>MEDIAN</t>
  </si>
  <si>
    <t>SUM</t>
  </si>
  <si>
    <t>SUMIF</t>
  </si>
  <si>
    <t>ROUND</t>
  </si>
  <si>
    <t>COUNT</t>
  </si>
  <si>
    <t>COUNTA</t>
  </si>
  <si>
    <t>TOTAL</t>
  </si>
  <si>
    <t>REMARKS</t>
  </si>
  <si>
    <t>Row Labels</t>
  </si>
  <si>
    <t>Rose Faustine</t>
  </si>
  <si>
    <t>Grand Total</t>
  </si>
  <si>
    <t>Sum of MATHS</t>
  </si>
  <si>
    <t>Sum of ENGLISH</t>
  </si>
  <si>
    <t>Sum of KISWAHILI</t>
  </si>
  <si>
    <t>Sum of BIOLOGY</t>
  </si>
  <si>
    <t>Sum of CHEMISTRY</t>
  </si>
  <si>
    <t>Sum of HISTORY</t>
  </si>
  <si>
    <t>Sum of CRE</t>
  </si>
  <si>
    <t>Sum of GEOGRAPHY</t>
  </si>
  <si>
    <t>Sum of COMPUTER</t>
  </si>
  <si>
    <t>Sum of H/SCIENCE</t>
  </si>
  <si>
    <t>Sum of AGRICULTURE</t>
  </si>
  <si>
    <t>Sum of TOTAL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</si>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</sst>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317.633974884258" backgroundQuery="1" createdVersion="6" refreshedVersion="6" minRefreshableVersion="3" recordCount="0" supportSubquery="1" supportAdvancedDrill="1">
  <cacheSource type="external" connectionId="1"/>
  <cacheFields count="14">
    <cacheField name="[Range].[NAME].[NAME]" caption="NAME" numFmtId="0" level="1">
      <sharedItems count="42">
        <s v="Adrian Johnstone"/>
        <s v="Alice Achieng"/>
        <s v="Annabel Ngendo"/>
        <s v="Beryl Owoko"/>
        <s v="Brandon Wasike"/>
        <s v="Brenda Atieno"/>
        <s v="Brian Koech"/>
        <s v="Calvince Ochieng"/>
        <s v="Catherine Juma"/>
        <s v="Caxton Wafula"/>
        <s v="Celestine Oginga"/>
        <s v="Chistine Waweru"/>
        <s v="Clay Odhiambo"/>
        <s v="David Major"/>
        <s v="Domnic Mbooya"/>
        <s v="Emerald Awino"/>
        <s v="Esther Brenda"/>
        <s v="Faustine Aluoch"/>
        <s v="Gabriel Onyango"/>
        <s v="Irine Nikita"/>
        <s v="John Otieno"/>
        <s v="Lameck Kanango"/>
        <s v="Lucy Mwangi"/>
        <s v="Luke Onyango"/>
        <s v="Margaret Mwende"/>
        <s v="Mary Clare"/>
        <s v="Mary Margaret"/>
        <s v="Mary Muchemi"/>
        <s v="Maurice Okello"/>
        <s v="Mercy waeni"/>
        <s v="Midco Kuss"/>
        <s v="Norbert Kowejee"/>
        <s v="Peter Kargungs"/>
        <s v="Phanuel Maxwel"/>
        <s v="Presly Shalline"/>
        <s v="Robinson Mambo"/>
        <s v="Roman Ochieng"/>
        <s v="Rose Faustine"/>
        <s v="Rosemary Atieno"/>
        <s v="Vallary Achieng"/>
        <s v="Victoria Rubadiri"/>
        <s v="William Wilfred"/>
      </sharedItems>
    </cacheField>
    <cacheField name="[Measures].[Sum of MATHS]" caption="Sum of MATHS" numFmtId="0" hierarchy="16" level="32767"/>
    <cacheField name="[Measures].[Sum of ENGLISH]" caption="Sum of ENGLISH" numFmtId="0" hierarchy="17" level="32767"/>
    <cacheField name="[Measures].[Sum of KISWAHILI]" caption="Sum of KISWAHILI" numFmtId="0" hierarchy="18" level="32767"/>
    <cacheField name="[Measures].[Sum of BIOLOGY]" caption="Sum of BIOLOGY" numFmtId="0" hierarchy="19" level="32767"/>
    <cacheField name="[Measures].[Sum of CHEMISTRY]" caption="Sum of CHEMISTRY" numFmtId="0" hierarchy="20" level="32767"/>
    <cacheField name="[Measures].[Sum of HISTORY]" caption="Sum of HISTORY" numFmtId="0" hierarchy="21" level="32767"/>
    <cacheField name="[Measures].[Sum of CRE]" caption="Sum of CRE" numFmtId="0" hierarchy="22" level="32767"/>
    <cacheField name="[Measures].[Sum of GEOGRAPHY]" caption="Sum of GEOGRAPHY" numFmtId="0" hierarchy="23" level="32767"/>
    <cacheField name="[Measures].[Sum of COMPUTER]" caption="Sum of COMPUTER" numFmtId="0" hierarchy="24" level="32767"/>
    <cacheField name="[Measures].[Sum of H/SCIENCE]" caption="Sum of H/SCIENCE" numFmtId="0" hierarchy="25" level="32767"/>
    <cacheField name="[Measures].[Sum of AGRICULTURE]" caption="Sum of AGRICULTURE" numFmtId="0" hierarchy="26" level="32767"/>
    <cacheField name="[Measures].[Sum of TOTAL]" caption="Sum of TOTAL" numFmtId="0" hierarchy="27" level="32767"/>
    <cacheField name="[Range].[REMARKS].[REMARKS]" caption="REMARKS" numFmtId="0" hierarchy="13" level="1">
      <sharedItems containsSemiMixedTypes="0" containsNonDate="0" containsString="0"/>
    </cacheField>
  </cacheFields>
  <cacheHierarchies count="28"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ATHS]" caption="MATHS" attribute="1" defaultMemberUniqueName="[Range].[MATHS].[All]" allUniqueName="[Range].[MATHS].[All]" dimensionUniqueName="[Range]" displayFolder="" count="0" memberValueDatatype="20" unbalanced="0"/>
    <cacheHierarchy uniqueName="[Range].[ENGLISH]" caption="ENGLISH" attribute="1" defaultMemberUniqueName="[Range].[ENGLISH].[All]" allUniqueName="[Range].[ENGLISH].[All]" dimensionUniqueName="[Range]" displayFolder="" count="0" memberValueDatatype="20" unbalanced="0"/>
    <cacheHierarchy uniqueName="[Range].[KISWAHILI]" caption="KISWAHILI" attribute="1" defaultMemberUniqueName="[Range].[KISWAHILI].[All]" allUniqueName="[Range].[KISWAHILI].[All]" dimensionUniqueName="[Range]" displayFolder="" count="0" memberValueDatatype="20" unbalanced="0"/>
    <cacheHierarchy uniqueName="[Range].[BIOLOGY]" caption="BIOLOGY" attribute="1" defaultMemberUniqueName="[Range].[BIOLOGY].[All]" allUniqueName="[Range].[BIOLOGY].[All]" dimensionUniqueName="[Range]" displayFolder="" count="0" memberValueDatatype="20" unbalanced="0"/>
    <cacheHierarchy uniqueName="[Range].[CHEMISTRY]" caption="CHEMISTRY" attribute="1" defaultMemberUniqueName="[Range].[CHEMISTRY].[All]" allUniqueName="[Range].[CHEMISTRY].[All]" dimensionUniqueName="[Range]" displayFolder="" count="0" memberValueDatatype="20" unbalanced="0"/>
    <cacheHierarchy uniqueName="[Range].[HISTORY]" caption="HISTORY" attribute="1" defaultMemberUniqueName="[Range].[HISTORY].[All]" allUniqueName="[Range].[HISTORY].[All]" dimensionUniqueName="[Range]" displayFolder="" count="0" memberValueDatatype="20" unbalanced="0"/>
    <cacheHierarchy uniqueName="[Range].[CRE]" caption="CRE" attribute="1" defaultMemberUniqueName="[Range].[CRE].[All]" allUniqueName="[Range].[CRE].[All]" dimensionUniqueName="[Range]" displayFolder="" count="0" memberValueDatatype="20" unbalanced="0"/>
    <cacheHierarchy uniqueName="[Range].[GEOGRAPHY]" caption="GEOGRAPHY" attribute="1" defaultMemberUniqueName="[Range].[GEOGRAPHY].[All]" allUniqueName="[Range].[GEOGRAPHY].[All]" dimensionUniqueName="[Range]" displayFolder="" count="0" memberValueDatatype="20" unbalanced="0"/>
    <cacheHierarchy uniqueName="[Range].[COMPUTER]" caption="COMPUTER" attribute="1" defaultMemberUniqueName="[Range].[COMPUTER].[All]" allUniqueName="[Range].[COMPUTER].[All]" dimensionUniqueName="[Range]" displayFolder="" count="0" memberValueDatatype="20" unbalanced="0"/>
    <cacheHierarchy uniqueName="[Range].[H/SCIENCE]" caption="H/SCIENCE" attribute="1" defaultMemberUniqueName="[Range].[H/SCIENCE].[All]" allUniqueName="[Range].[H/SCIENCE].[All]" dimensionUniqueName="[Range]" displayFolder="" count="0" memberValueDatatype="20" unbalanced="0"/>
    <cacheHierarchy uniqueName="[Range].[AGRICULTURE]" caption="AGRICULTURE" attribute="1" defaultMemberUniqueName="[Range].[AGRICULTURE].[All]" allUniqueName="[Range].[AGRICULTURE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REMARKS]" caption="REMARKS" attribute="1" defaultMemberUniqueName="[Range].[REMARKS].[All]" allUniqueName="[Range].[REMARKS].[All]" dimensionUniqueName="[Range]" displayFolder="" count="2" memberValueDatatype="130" unbalanced="0">
      <fieldsUsage count="2">
        <fieldUsage x="-1"/>
        <fieldUsage x="13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ATHS]" caption="Sum of MATH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ENGLISH]" caption="Sum of ENGLISH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KISWAHILI]" caption="Sum of KISWAHILI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IOLOGY]" caption="Sum of BIOLOGY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HEMISTRY]" caption="Sum of CHEMISTRY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ISTORY]" caption="Sum of HISTORY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RE]" caption="Sum of CRE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GEOGRAPHY]" caption="Sum of GEOGRAPHY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MPUTER]" caption="Sum of COMPUTER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H/SCIENCE]" caption="Sum of H/SCIENCE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GRICULTURE]" caption="Sum of AGRICULTURE" measure="1" displayFolder="" measureGroup="Range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]" caption="Sum of TOTAL" measure="1" displayFolder="" measureGroup="Range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M46" firstHeaderRow="0" firstDataRow="1" firstDataCol="1" rowPageCount="1" colPageCount="1"/>
  <pivotFields count="14">
    <pivotField axis="axisRow" allDrilled="1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3" hier="13" name="[Range].[REMARKS].&amp;[PASS]" cap="PASS"/>
  </pageFields>
  <dataFields count="12">
    <dataField name="Sum of MATHS" fld="1" baseField="0" baseItem="0"/>
    <dataField name="Sum of ENGLISH" fld="2" baseField="0" baseItem="0"/>
    <dataField name="Sum of KISWAHILI" fld="3" baseField="0" baseItem="0"/>
    <dataField name="Sum of BIOLOGY" fld="4" baseField="0" baseItem="0"/>
    <dataField name="Sum of CHEMISTRY" fld="5" baseField="0" baseItem="0"/>
    <dataField name="Sum of HISTORY" fld="6" baseField="0" baseItem="0"/>
    <dataField name="Sum of CRE" fld="7" baseField="0" baseItem="0"/>
    <dataField name="Sum of GEOGRAPHY" fld="8" baseField="0" baseItem="0"/>
    <dataField name="Sum of COMPUTER" fld="9" baseField="0" baseItem="0"/>
    <dataField name="Sum of H/SCIENCE" fld="10" baseField="0" baseItem="0"/>
    <dataField name="Sum of AGRICULTURE" fld="11" baseField="0" baseItem="0"/>
    <dataField name="Sum of TOTAL" fld="12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REMARKS].&amp;[PASS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51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A3" sqref="A3"/>
    </sheetView>
  </sheetViews>
  <sheetFormatPr defaultRowHeight="15" x14ac:dyDescent="0.25"/>
  <cols>
    <col min="1" max="1" width="17.5703125" customWidth="1"/>
    <col min="2" max="2" width="14.140625" bestFit="1" customWidth="1"/>
    <col min="3" max="3" width="15.28515625" bestFit="1" customWidth="1"/>
    <col min="4" max="4" width="17" bestFit="1" customWidth="1"/>
    <col min="5" max="5" width="15.7109375" bestFit="1" customWidth="1"/>
    <col min="6" max="6" width="18" bestFit="1" customWidth="1"/>
    <col min="7" max="7" width="15.28515625" bestFit="1" customWidth="1"/>
    <col min="8" max="8" width="10.85546875" bestFit="1" customWidth="1"/>
    <col min="9" max="9" width="19.140625" bestFit="1" customWidth="1"/>
    <col min="10" max="10" width="18" bestFit="1" customWidth="1"/>
    <col min="11" max="11" width="17.28515625" bestFit="1" customWidth="1"/>
    <col min="12" max="12" width="20.28515625" bestFit="1" customWidth="1"/>
    <col min="13" max="13" width="13.28515625" bestFit="1" customWidth="1"/>
  </cols>
  <sheetData>
    <row r="1" spans="1:13" x14ac:dyDescent="0.25">
      <c r="A1" s="2" t="s">
        <v>72</v>
      </c>
      <c r="B1" t="s" vm="1">
        <v>88</v>
      </c>
    </row>
    <row r="3" spans="1:13" x14ac:dyDescent="0.25">
      <c r="A3" s="2" t="s">
        <v>73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</row>
    <row r="4" spans="1:13" x14ac:dyDescent="0.25">
      <c r="A4" s="3" t="s">
        <v>40</v>
      </c>
      <c r="B4" s="4">
        <v>67</v>
      </c>
      <c r="C4" s="4">
        <v>80</v>
      </c>
      <c r="D4" s="4">
        <v>67</v>
      </c>
      <c r="E4" s="4">
        <v>66</v>
      </c>
      <c r="F4" s="4">
        <v>78</v>
      </c>
      <c r="G4" s="4">
        <v>65</v>
      </c>
      <c r="H4" s="4">
        <v>67</v>
      </c>
      <c r="I4" s="4">
        <v>70</v>
      </c>
      <c r="J4" s="4">
        <v>76</v>
      </c>
      <c r="K4" s="4">
        <v>65</v>
      </c>
      <c r="L4" s="4">
        <v>78</v>
      </c>
      <c r="M4" s="4">
        <v>779</v>
      </c>
    </row>
    <row r="5" spans="1:13" x14ac:dyDescent="0.25">
      <c r="A5" s="3" t="s">
        <v>19</v>
      </c>
      <c r="B5" s="4">
        <v>65</v>
      </c>
      <c r="C5" s="4">
        <v>67</v>
      </c>
      <c r="D5" s="4">
        <v>87</v>
      </c>
      <c r="E5" s="4">
        <v>76</v>
      </c>
      <c r="F5" s="4">
        <v>75</v>
      </c>
      <c r="G5" s="4">
        <v>74</v>
      </c>
      <c r="H5" s="4">
        <v>71</v>
      </c>
      <c r="I5" s="4">
        <v>73</v>
      </c>
      <c r="J5" s="4">
        <v>75</v>
      </c>
      <c r="K5" s="4">
        <v>73</v>
      </c>
      <c r="L5" s="4">
        <v>87</v>
      </c>
      <c r="M5" s="4">
        <v>823</v>
      </c>
    </row>
    <row r="6" spans="1:13" x14ac:dyDescent="0.25">
      <c r="A6" s="3" t="s">
        <v>60</v>
      </c>
      <c r="B6" s="4">
        <v>75</v>
      </c>
      <c r="C6" s="4">
        <v>56</v>
      </c>
      <c r="D6" s="4">
        <v>76</v>
      </c>
      <c r="E6" s="4">
        <v>56</v>
      </c>
      <c r="F6" s="4">
        <v>55</v>
      </c>
      <c r="G6" s="4">
        <v>66</v>
      </c>
      <c r="H6" s="4">
        <v>64</v>
      </c>
      <c r="I6" s="4">
        <v>65</v>
      </c>
      <c r="J6" s="4">
        <v>68</v>
      </c>
      <c r="K6" s="4">
        <v>67</v>
      </c>
      <c r="L6" s="4">
        <v>60</v>
      </c>
      <c r="M6" s="4">
        <v>708</v>
      </c>
    </row>
    <row r="7" spans="1:13" x14ac:dyDescent="0.25">
      <c r="A7" s="3" t="s">
        <v>18</v>
      </c>
      <c r="B7" s="4">
        <v>90</v>
      </c>
      <c r="C7" s="4">
        <v>98</v>
      </c>
      <c r="D7" s="4">
        <v>76</v>
      </c>
      <c r="E7" s="4">
        <v>65</v>
      </c>
      <c r="F7" s="4">
        <v>67</v>
      </c>
      <c r="G7" s="4">
        <v>87</v>
      </c>
      <c r="H7" s="4">
        <v>89</v>
      </c>
      <c r="I7" s="4">
        <v>76</v>
      </c>
      <c r="J7" s="4">
        <v>75</v>
      </c>
      <c r="K7" s="4">
        <v>76</v>
      </c>
      <c r="L7" s="4">
        <v>75</v>
      </c>
      <c r="M7" s="4">
        <v>874</v>
      </c>
    </row>
    <row r="8" spans="1:13" x14ac:dyDescent="0.25">
      <c r="A8" s="3" t="s">
        <v>21</v>
      </c>
      <c r="B8" s="4">
        <v>65</v>
      </c>
      <c r="C8" s="4">
        <v>87</v>
      </c>
      <c r="D8" s="4">
        <v>91</v>
      </c>
      <c r="E8" s="4">
        <v>68</v>
      </c>
      <c r="F8" s="4">
        <v>88</v>
      </c>
      <c r="G8" s="4">
        <v>66</v>
      </c>
      <c r="H8" s="4">
        <v>78</v>
      </c>
      <c r="I8" s="4">
        <v>77</v>
      </c>
      <c r="J8" s="4">
        <v>85</v>
      </c>
      <c r="K8" s="4">
        <v>56</v>
      </c>
      <c r="L8" s="4">
        <v>66</v>
      </c>
      <c r="M8" s="4">
        <v>827</v>
      </c>
    </row>
    <row r="9" spans="1:13" x14ac:dyDescent="0.25">
      <c r="A9" s="3" t="s">
        <v>32</v>
      </c>
      <c r="B9" s="4">
        <v>70</v>
      </c>
      <c r="C9" s="4">
        <v>65</v>
      </c>
      <c r="D9" s="4">
        <v>67</v>
      </c>
      <c r="E9" s="4">
        <v>68</v>
      </c>
      <c r="F9" s="4">
        <v>75</v>
      </c>
      <c r="G9" s="4">
        <v>76</v>
      </c>
      <c r="H9" s="4">
        <v>74</v>
      </c>
      <c r="I9" s="4">
        <v>75</v>
      </c>
      <c r="J9" s="4">
        <v>76</v>
      </c>
      <c r="K9" s="4">
        <v>76</v>
      </c>
      <c r="L9" s="4">
        <v>65</v>
      </c>
      <c r="M9" s="4">
        <v>787</v>
      </c>
    </row>
    <row r="10" spans="1:13" x14ac:dyDescent="0.25">
      <c r="A10" s="3" t="s">
        <v>22</v>
      </c>
      <c r="B10" s="4">
        <v>56</v>
      </c>
      <c r="C10" s="4">
        <v>87</v>
      </c>
      <c r="D10" s="4">
        <v>78</v>
      </c>
      <c r="E10" s="4">
        <v>76</v>
      </c>
      <c r="F10" s="4">
        <v>65</v>
      </c>
      <c r="G10" s="4">
        <v>76</v>
      </c>
      <c r="H10" s="4">
        <v>78</v>
      </c>
      <c r="I10" s="4">
        <v>78</v>
      </c>
      <c r="J10" s="4">
        <v>75</v>
      </c>
      <c r="K10" s="4">
        <v>75</v>
      </c>
      <c r="L10" s="4">
        <v>74</v>
      </c>
      <c r="M10" s="4">
        <v>818</v>
      </c>
    </row>
    <row r="11" spans="1:13" x14ac:dyDescent="0.25">
      <c r="A11" s="3" t="s">
        <v>13</v>
      </c>
      <c r="B11" s="4">
        <v>65</v>
      </c>
      <c r="C11" s="4">
        <v>76</v>
      </c>
      <c r="D11" s="4">
        <v>89</v>
      </c>
      <c r="E11" s="4">
        <v>45</v>
      </c>
      <c r="F11" s="4">
        <v>76</v>
      </c>
      <c r="G11" s="4">
        <v>74</v>
      </c>
      <c r="H11" s="4">
        <v>56</v>
      </c>
      <c r="I11" s="4">
        <v>58</v>
      </c>
      <c r="J11" s="4">
        <v>87</v>
      </c>
      <c r="K11" s="4">
        <v>56</v>
      </c>
      <c r="L11" s="4">
        <v>70</v>
      </c>
      <c r="M11" s="4">
        <v>752</v>
      </c>
    </row>
    <row r="12" spans="1:13" x14ac:dyDescent="0.25">
      <c r="A12" s="3" t="s">
        <v>31</v>
      </c>
      <c r="B12" s="4">
        <v>71</v>
      </c>
      <c r="C12" s="4">
        <v>73</v>
      </c>
      <c r="D12" s="4">
        <v>75</v>
      </c>
      <c r="E12" s="4">
        <v>77</v>
      </c>
      <c r="F12" s="4">
        <v>79</v>
      </c>
      <c r="G12" s="4">
        <v>80</v>
      </c>
      <c r="H12" s="4">
        <v>70</v>
      </c>
      <c r="I12" s="4">
        <v>69</v>
      </c>
      <c r="J12" s="4">
        <v>67</v>
      </c>
      <c r="K12" s="4">
        <v>80</v>
      </c>
      <c r="L12" s="4">
        <v>70</v>
      </c>
      <c r="M12" s="4">
        <v>811</v>
      </c>
    </row>
    <row r="13" spans="1:13" x14ac:dyDescent="0.25">
      <c r="A13" s="3" t="s">
        <v>16</v>
      </c>
      <c r="B13" s="4">
        <v>67</v>
      </c>
      <c r="C13" s="4">
        <v>67</v>
      </c>
      <c r="D13" s="4">
        <v>98</v>
      </c>
      <c r="E13" s="4">
        <v>87</v>
      </c>
      <c r="F13" s="4">
        <v>76</v>
      </c>
      <c r="G13" s="4">
        <v>75</v>
      </c>
      <c r="H13" s="4">
        <v>87</v>
      </c>
      <c r="I13" s="4">
        <v>76</v>
      </c>
      <c r="J13" s="4">
        <v>78</v>
      </c>
      <c r="K13" s="4">
        <v>76</v>
      </c>
      <c r="L13" s="4">
        <v>65</v>
      </c>
      <c r="M13" s="4">
        <v>852</v>
      </c>
    </row>
    <row r="14" spans="1:13" x14ac:dyDescent="0.25">
      <c r="A14" s="3" t="s">
        <v>44</v>
      </c>
      <c r="B14" s="4">
        <v>66</v>
      </c>
      <c r="C14" s="4">
        <v>67</v>
      </c>
      <c r="D14" s="4">
        <v>87</v>
      </c>
      <c r="E14" s="4">
        <v>87</v>
      </c>
      <c r="F14" s="4">
        <v>81</v>
      </c>
      <c r="G14" s="4">
        <v>80</v>
      </c>
      <c r="H14" s="4">
        <v>76</v>
      </c>
      <c r="I14" s="4">
        <v>65</v>
      </c>
      <c r="J14" s="4">
        <v>66</v>
      </c>
      <c r="K14" s="4">
        <v>67</v>
      </c>
      <c r="L14" s="4">
        <v>68</v>
      </c>
      <c r="M14" s="4">
        <v>810</v>
      </c>
    </row>
    <row r="15" spans="1:13" x14ac:dyDescent="0.25">
      <c r="A15" s="3" t="s">
        <v>12</v>
      </c>
      <c r="B15" s="4">
        <v>85</v>
      </c>
      <c r="C15" s="4">
        <v>81</v>
      </c>
      <c r="D15" s="4">
        <v>80</v>
      </c>
      <c r="E15" s="4">
        <v>80</v>
      </c>
      <c r="F15" s="4">
        <v>87</v>
      </c>
      <c r="G15" s="4">
        <v>86</v>
      </c>
      <c r="H15" s="4">
        <v>80</v>
      </c>
      <c r="I15" s="4">
        <v>80</v>
      </c>
      <c r="J15" s="4">
        <v>90</v>
      </c>
      <c r="K15" s="4">
        <v>80</v>
      </c>
      <c r="L15" s="4">
        <v>83</v>
      </c>
      <c r="M15" s="4">
        <v>912</v>
      </c>
    </row>
    <row r="16" spans="1:13" x14ac:dyDescent="0.25">
      <c r="A16" s="3" t="s">
        <v>20</v>
      </c>
      <c r="B16" s="4">
        <v>65</v>
      </c>
      <c r="C16" s="4">
        <v>76</v>
      </c>
      <c r="D16" s="4">
        <v>87</v>
      </c>
      <c r="E16" s="4">
        <v>98</v>
      </c>
      <c r="F16" s="4">
        <v>78</v>
      </c>
      <c r="G16" s="4">
        <v>76</v>
      </c>
      <c r="H16" s="4">
        <v>58</v>
      </c>
      <c r="I16" s="4">
        <v>76</v>
      </c>
      <c r="J16" s="4">
        <v>98</v>
      </c>
      <c r="K16" s="4">
        <v>67</v>
      </c>
      <c r="L16" s="4">
        <v>65</v>
      </c>
      <c r="M16" s="4">
        <v>844</v>
      </c>
    </row>
    <row r="17" spans="1:13" x14ac:dyDescent="0.25">
      <c r="A17" s="3" t="s">
        <v>54</v>
      </c>
      <c r="B17" s="4">
        <v>76</v>
      </c>
      <c r="C17" s="4">
        <v>65</v>
      </c>
      <c r="D17" s="4">
        <v>78</v>
      </c>
      <c r="E17" s="4">
        <v>65</v>
      </c>
      <c r="F17" s="4">
        <v>66</v>
      </c>
      <c r="G17" s="4">
        <v>78</v>
      </c>
      <c r="H17" s="4">
        <v>75</v>
      </c>
      <c r="I17" s="4">
        <v>64</v>
      </c>
      <c r="J17" s="4">
        <v>65</v>
      </c>
      <c r="K17" s="4">
        <v>65</v>
      </c>
      <c r="L17" s="4">
        <v>45</v>
      </c>
      <c r="M17" s="4">
        <v>742</v>
      </c>
    </row>
    <row r="18" spans="1:13" x14ac:dyDescent="0.25">
      <c r="A18" s="3" t="s">
        <v>55</v>
      </c>
      <c r="B18" s="4">
        <v>54</v>
      </c>
      <c r="C18" s="4">
        <v>65</v>
      </c>
      <c r="D18" s="4">
        <v>76</v>
      </c>
      <c r="E18" s="4">
        <v>76</v>
      </c>
      <c r="F18" s="4">
        <v>77</v>
      </c>
      <c r="G18" s="4">
        <v>65</v>
      </c>
      <c r="H18" s="4">
        <v>65</v>
      </c>
      <c r="I18" s="4">
        <v>76</v>
      </c>
      <c r="J18" s="4">
        <v>87</v>
      </c>
      <c r="K18" s="4">
        <v>65</v>
      </c>
      <c r="L18" s="4">
        <v>66</v>
      </c>
      <c r="M18" s="4">
        <v>772</v>
      </c>
    </row>
    <row r="19" spans="1:13" x14ac:dyDescent="0.25">
      <c r="A19" s="3" t="s">
        <v>52</v>
      </c>
      <c r="B19" s="4">
        <v>78</v>
      </c>
      <c r="C19" s="4">
        <v>76</v>
      </c>
      <c r="D19" s="4">
        <v>76</v>
      </c>
      <c r="E19" s="4">
        <v>77</v>
      </c>
      <c r="F19" s="4">
        <v>80</v>
      </c>
      <c r="G19" s="4">
        <v>65</v>
      </c>
      <c r="H19" s="4">
        <v>67</v>
      </c>
      <c r="I19" s="4">
        <v>80</v>
      </c>
      <c r="J19" s="4">
        <v>87</v>
      </c>
      <c r="K19" s="4">
        <v>76</v>
      </c>
      <c r="L19" s="4">
        <v>77</v>
      </c>
      <c r="M19" s="4">
        <v>839</v>
      </c>
    </row>
    <row r="20" spans="1:13" x14ac:dyDescent="0.25">
      <c r="A20" s="3" t="s">
        <v>25</v>
      </c>
      <c r="B20" s="4">
        <v>76</v>
      </c>
      <c r="C20" s="4">
        <v>76</v>
      </c>
      <c r="D20" s="4">
        <v>76</v>
      </c>
      <c r="E20" s="4">
        <v>75</v>
      </c>
      <c r="F20" s="4">
        <v>76</v>
      </c>
      <c r="G20" s="4">
        <v>75</v>
      </c>
      <c r="H20" s="4">
        <v>74</v>
      </c>
      <c r="I20" s="4">
        <v>73</v>
      </c>
      <c r="J20" s="4">
        <v>71</v>
      </c>
      <c r="K20" s="4">
        <v>80</v>
      </c>
      <c r="L20" s="4">
        <v>80</v>
      </c>
      <c r="M20" s="4">
        <v>832</v>
      </c>
    </row>
    <row r="21" spans="1:13" x14ac:dyDescent="0.25">
      <c r="A21" s="3" t="s">
        <v>38</v>
      </c>
      <c r="B21" s="4">
        <v>56</v>
      </c>
      <c r="C21" s="4">
        <v>56</v>
      </c>
      <c r="D21" s="4">
        <v>76</v>
      </c>
      <c r="E21" s="4">
        <v>75</v>
      </c>
      <c r="F21" s="4">
        <v>74</v>
      </c>
      <c r="G21" s="4">
        <v>73</v>
      </c>
      <c r="H21" s="4">
        <v>75</v>
      </c>
      <c r="I21" s="4">
        <v>65</v>
      </c>
      <c r="J21" s="4">
        <v>65</v>
      </c>
      <c r="K21" s="4">
        <v>66</v>
      </c>
      <c r="L21" s="4">
        <v>76</v>
      </c>
      <c r="M21" s="4">
        <v>757</v>
      </c>
    </row>
    <row r="22" spans="1:13" x14ac:dyDescent="0.25">
      <c r="A22" s="3" t="s">
        <v>48</v>
      </c>
      <c r="B22" s="4">
        <v>80</v>
      </c>
      <c r="C22" s="4">
        <v>56</v>
      </c>
      <c r="D22" s="4">
        <v>67</v>
      </c>
      <c r="E22" s="4">
        <v>87</v>
      </c>
      <c r="F22" s="4">
        <v>86</v>
      </c>
      <c r="G22" s="4">
        <v>76</v>
      </c>
      <c r="H22" s="4">
        <v>75</v>
      </c>
      <c r="I22" s="4">
        <v>76</v>
      </c>
      <c r="J22" s="4">
        <v>79</v>
      </c>
      <c r="K22" s="4">
        <v>56</v>
      </c>
      <c r="L22" s="4">
        <v>79</v>
      </c>
      <c r="M22" s="4">
        <v>817</v>
      </c>
    </row>
    <row r="23" spans="1:13" x14ac:dyDescent="0.25">
      <c r="A23" s="3" t="s">
        <v>42</v>
      </c>
      <c r="B23" s="4">
        <v>78</v>
      </c>
      <c r="C23" s="4">
        <v>67</v>
      </c>
      <c r="D23" s="4">
        <v>78</v>
      </c>
      <c r="E23" s="4">
        <v>66</v>
      </c>
      <c r="F23" s="4">
        <v>67</v>
      </c>
      <c r="G23" s="4">
        <v>66</v>
      </c>
      <c r="H23" s="4">
        <v>80</v>
      </c>
      <c r="I23" s="4">
        <v>68</v>
      </c>
      <c r="J23" s="4">
        <v>67</v>
      </c>
      <c r="K23" s="4">
        <v>66</v>
      </c>
      <c r="L23" s="4">
        <v>45</v>
      </c>
      <c r="M23" s="4">
        <v>748</v>
      </c>
    </row>
    <row r="24" spans="1:13" x14ac:dyDescent="0.25">
      <c r="A24" s="3" t="s">
        <v>33</v>
      </c>
      <c r="B24" s="4">
        <v>80</v>
      </c>
      <c r="C24" s="4">
        <v>80</v>
      </c>
      <c r="D24" s="4">
        <v>80</v>
      </c>
      <c r="E24" s="4">
        <v>75</v>
      </c>
      <c r="F24" s="4">
        <v>74</v>
      </c>
      <c r="G24" s="4">
        <v>73</v>
      </c>
      <c r="H24" s="4">
        <v>75</v>
      </c>
      <c r="I24" s="4">
        <v>76</v>
      </c>
      <c r="J24" s="4">
        <v>71</v>
      </c>
      <c r="K24" s="4">
        <v>80</v>
      </c>
      <c r="L24" s="4">
        <v>67</v>
      </c>
      <c r="M24" s="4">
        <v>831</v>
      </c>
    </row>
    <row r="25" spans="1:13" x14ac:dyDescent="0.25">
      <c r="A25" s="3" t="s">
        <v>34</v>
      </c>
      <c r="B25" s="4">
        <v>67</v>
      </c>
      <c r="C25" s="4">
        <v>89</v>
      </c>
      <c r="D25" s="4">
        <v>80</v>
      </c>
      <c r="E25" s="4">
        <v>60</v>
      </c>
      <c r="F25" s="4">
        <v>60</v>
      </c>
      <c r="G25" s="4">
        <v>67</v>
      </c>
      <c r="H25" s="4">
        <v>65</v>
      </c>
      <c r="I25" s="4">
        <v>64</v>
      </c>
      <c r="J25" s="4">
        <v>68</v>
      </c>
      <c r="K25" s="4">
        <v>65</v>
      </c>
      <c r="L25" s="4">
        <v>70</v>
      </c>
      <c r="M25" s="4">
        <v>755</v>
      </c>
    </row>
    <row r="26" spans="1:13" x14ac:dyDescent="0.25">
      <c r="A26" s="3" t="s">
        <v>58</v>
      </c>
      <c r="B26" s="4">
        <v>60</v>
      </c>
      <c r="C26" s="4">
        <v>65</v>
      </c>
      <c r="D26" s="4">
        <v>76</v>
      </c>
      <c r="E26" s="4">
        <v>67</v>
      </c>
      <c r="F26" s="4">
        <v>79</v>
      </c>
      <c r="G26" s="4">
        <v>76</v>
      </c>
      <c r="H26" s="4">
        <v>75</v>
      </c>
      <c r="I26" s="4">
        <v>65</v>
      </c>
      <c r="J26" s="4">
        <v>66</v>
      </c>
      <c r="K26" s="4">
        <v>65</v>
      </c>
      <c r="L26" s="4">
        <v>64</v>
      </c>
      <c r="M26" s="4">
        <v>758</v>
      </c>
    </row>
    <row r="27" spans="1:13" x14ac:dyDescent="0.25">
      <c r="A27" s="3" t="s">
        <v>50</v>
      </c>
      <c r="B27" s="4">
        <v>60</v>
      </c>
      <c r="C27" s="4">
        <v>56</v>
      </c>
      <c r="D27" s="4">
        <v>70</v>
      </c>
      <c r="E27" s="4">
        <v>75</v>
      </c>
      <c r="F27" s="4">
        <v>66</v>
      </c>
      <c r="G27" s="4">
        <v>67</v>
      </c>
      <c r="H27" s="4">
        <v>80</v>
      </c>
      <c r="I27" s="4">
        <v>76</v>
      </c>
      <c r="J27" s="4">
        <v>65</v>
      </c>
      <c r="K27" s="4">
        <v>66</v>
      </c>
      <c r="L27" s="4">
        <v>70</v>
      </c>
      <c r="M27" s="4">
        <v>751</v>
      </c>
    </row>
    <row r="28" spans="1:13" x14ac:dyDescent="0.25">
      <c r="A28" s="3" t="s">
        <v>23</v>
      </c>
      <c r="B28" s="4">
        <v>80</v>
      </c>
      <c r="C28" s="4">
        <v>79</v>
      </c>
      <c r="D28" s="4">
        <v>78</v>
      </c>
      <c r="E28" s="4">
        <v>67</v>
      </c>
      <c r="F28" s="4">
        <v>75</v>
      </c>
      <c r="G28" s="4">
        <v>65</v>
      </c>
      <c r="H28" s="4">
        <v>76</v>
      </c>
      <c r="I28" s="4">
        <v>87</v>
      </c>
      <c r="J28" s="4">
        <v>76</v>
      </c>
      <c r="K28" s="4">
        <v>67</v>
      </c>
      <c r="L28" s="4">
        <v>67</v>
      </c>
      <c r="M28" s="4">
        <v>817</v>
      </c>
    </row>
    <row r="29" spans="1:13" x14ac:dyDescent="0.25">
      <c r="A29" s="3" t="s">
        <v>15</v>
      </c>
      <c r="B29" s="4">
        <v>78</v>
      </c>
      <c r="C29" s="4">
        <v>98</v>
      </c>
      <c r="D29" s="4">
        <v>67</v>
      </c>
      <c r="E29" s="4">
        <v>87</v>
      </c>
      <c r="F29" s="4">
        <v>83</v>
      </c>
      <c r="G29" s="4">
        <v>72</v>
      </c>
      <c r="H29" s="4">
        <v>72</v>
      </c>
      <c r="I29" s="4">
        <v>75</v>
      </c>
      <c r="J29" s="4">
        <v>74</v>
      </c>
      <c r="K29" s="4">
        <v>65</v>
      </c>
      <c r="L29" s="4">
        <v>67</v>
      </c>
      <c r="M29" s="4">
        <v>838</v>
      </c>
    </row>
    <row r="30" spans="1:13" x14ac:dyDescent="0.25">
      <c r="A30" s="3" t="s">
        <v>45</v>
      </c>
      <c r="B30" s="4">
        <v>80</v>
      </c>
      <c r="C30" s="4">
        <v>81</v>
      </c>
      <c r="D30" s="4">
        <v>83</v>
      </c>
      <c r="E30" s="4">
        <v>74</v>
      </c>
      <c r="F30" s="4">
        <v>77</v>
      </c>
      <c r="G30" s="4">
        <v>67</v>
      </c>
      <c r="H30" s="4">
        <v>66</v>
      </c>
      <c r="I30" s="4">
        <v>67</v>
      </c>
      <c r="J30" s="4">
        <v>65</v>
      </c>
      <c r="K30" s="4">
        <v>64</v>
      </c>
      <c r="L30" s="4">
        <v>80</v>
      </c>
      <c r="M30" s="4">
        <v>804</v>
      </c>
    </row>
    <row r="31" spans="1:13" x14ac:dyDescent="0.25">
      <c r="A31" s="3" t="s">
        <v>24</v>
      </c>
      <c r="B31" s="4">
        <v>78</v>
      </c>
      <c r="C31" s="4">
        <v>80</v>
      </c>
      <c r="D31" s="4">
        <v>65</v>
      </c>
      <c r="E31" s="4">
        <v>67</v>
      </c>
      <c r="F31" s="4">
        <v>65</v>
      </c>
      <c r="G31" s="4">
        <v>67</v>
      </c>
      <c r="H31" s="4">
        <v>87</v>
      </c>
      <c r="I31" s="4">
        <v>65</v>
      </c>
      <c r="J31" s="4">
        <v>66</v>
      </c>
      <c r="K31" s="4">
        <v>54</v>
      </c>
      <c r="L31" s="4">
        <v>67</v>
      </c>
      <c r="M31" s="4">
        <v>761</v>
      </c>
    </row>
    <row r="32" spans="1:13" x14ac:dyDescent="0.25">
      <c r="A32" s="3" t="s">
        <v>39</v>
      </c>
      <c r="B32" s="4">
        <v>66</v>
      </c>
      <c r="C32" s="4">
        <v>78</v>
      </c>
      <c r="D32" s="4">
        <v>67</v>
      </c>
      <c r="E32" s="4">
        <v>65</v>
      </c>
      <c r="F32" s="4">
        <v>78</v>
      </c>
      <c r="G32" s="4">
        <v>79</v>
      </c>
      <c r="H32" s="4">
        <v>70</v>
      </c>
      <c r="I32" s="4">
        <v>60</v>
      </c>
      <c r="J32" s="4">
        <v>66</v>
      </c>
      <c r="K32" s="4">
        <v>67</v>
      </c>
      <c r="L32" s="4">
        <v>67</v>
      </c>
      <c r="M32" s="4">
        <v>763</v>
      </c>
    </row>
    <row r="33" spans="1:13" x14ac:dyDescent="0.25">
      <c r="A33" s="3" t="s">
        <v>47</v>
      </c>
      <c r="B33" s="4">
        <v>56</v>
      </c>
      <c r="C33" s="4">
        <v>67</v>
      </c>
      <c r="D33" s="4">
        <v>78</v>
      </c>
      <c r="E33" s="4">
        <v>76</v>
      </c>
      <c r="F33" s="4">
        <v>75</v>
      </c>
      <c r="G33" s="4">
        <v>67</v>
      </c>
      <c r="H33" s="4">
        <v>65</v>
      </c>
      <c r="I33" s="4">
        <v>79</v>
      </c>
      <c r="J33" s="4">
        <v>78</v>
      </c>
      <c r="K33" s="4">
        <v>80</v>
      </c>
      <c r="L33" s="4">
        <v>71</v>
      </c>
      <c r="M33" s="4">
        <v>792</v>
      </c>
    </row>
    <row r="34" spans="1:13" x14ac:dyDescent="0.25">
      <c r="A34" s="3" t="s">
        <v>17</v>
      </c>
      <c r="B34" s="4">
        <v>78</v>
      </c>
      <c r="C34" s="4">
        <v>78</v>
      </c>
      <c r="D34" s="4">
        <v>76</v>
      </c>
      <c r="E34" s="4">
        <v>98</v>
      </c>
      <c r="F34" s="4">
        <v>78</v>
      </c>
      <c r="G34" s="4">
        <v>76</v>
      </c>
      <c r="H34" s="4">
        <v>56</v>
      </c>
      <c r="I34" s="4">
        <v>65</v>
      </c>
      <c r="J34" s="4">
        <v>65</v>
      </c>
      <c r="K34" s="4">
        <v>78</v>
      </c>
      <c r="L34" s="4">
        <v>98</v>
      </c>
      <c r="M34" s="4">
        <v>846</v>
      </c>
    </row>
    <row r="35" spans="1:13" x14ac:dyDescent="0.25">
      <c r="A35" s="3" t="s">
        <v>30</v>
      </c>
      <c r="B35" s="4">
        <v>67</v>
      </c>
      <c r="C35" s="4">
        <v>68</v>
      </c>
      <c r="D35" s="4">
        <v>69</v>
      </c>
      <c r="E35" s="4">
        <v>70</v>
      </c>
      <c r="F35" s="4">
        <v>71</v>
      </c>
      <c r="G35" s="4">
        <v>72</v>
      </c>
      <c r="H35" s="4">
        <v>73</v>
      </c>
      <c r="I35" s="4">
        <v>74</v>
      </c>
      <c r="J35" s="4">
        <v>75</v>
      </c>
      <c r="K35" s="4">
        <v>76</v>
      </c>
      <c r="L35" s="4">
        <v>78</v>
      </c>
      <c r="M35" s="4">
        <v>793</v>
      </c>
    </row>
    <row r="36" spans="1:13" x14ac:dyDescent="0.25">
      <c r="A36" s="3" t="s">
        <v>56</v>
      </c>
      <c r="B36" s="4">
        <v>77</v>
      </c>
      <c r="C36" s="4">
        <v>70</v>
      </c>
      <c r="D36" s="4">
        <v>60</v>
      </c>
      <c r="E36" s="4">
        <v>50</v>
      </c>
      <c r="F36" s="4">
        <v>60</v>
      </c>
      <c r="G36" s="4">
        <v>66</v>
      </c>
      <c r="H36" s="4">
        <v>65</v>
      </c>
      <c r="I36" s="4">
        <v>56</v>
      </c>
      <c r="J36" s="4">
        <v>76</v>
      </c>
      <c r="K36" s="4">
        <v>78</v>
      </c>
      <c r="L36" s="4">
        <v>80</v>
      </c>
      <c r="M36" s="4">
        <v>738</v>
      </c>
    </row>
    <row r="37" spans="1:13" x14ac:dyDescent="0.25">
      <c r="A37" s="3" t="s">
        <v>51</v>
      </c>
      <c r="B37" s="4">
        <v>56</v>
      </c>
      <c r="C37" s="4">
        <v>70</v>
      </c>
      <c r="D37" s="4">
        <v>76</v>
      </c>
      <c r="E37" s="4">
        <v>75</v>
      </c>
      <c r="F37" s="4">
        <v>70</v>
      </c>
      <c r="G37" s="4">
        <v>65</v>
      </c>
      <c r="H37" s="4">
        <v>67</v>
      </c>
      <c r="I37" s="4">
        <v>78</v>
      </c>
      <c r="J37" s="4">
        <v>76</v>
      </c>
      <c r="K37" s="4">
        <v>65</v>
      </c>
      <c r="L37" s="4">
        <v>70</v>
      </c>
      <c r="M37" s="4">
        <v>768</v>
      </c>
    </row>
    <row r="38" spans="1:13" x14ac:dyDescent="0.25">
      <c r="A38" s="3" t="s">
        <v>41</v>
      </c>
      <c r="B38" s="4">
        <v>66</v>
      </c>
      <c r="C38" s="4">
        <v>67</v>
      </c>
      <c r="D38" s="4">
        <v>76</v>
      </c>
      <c r="E38" s="4">
        <v>75</v>
      </c>
      <c r="F38" s="4">
        <v>56</v>
      </c>
      <c r="G38" s="4">
        <v>40</v>
      </c>
      <c r="H38" s="4">
        <v>57</v>
      </c>
      <c r="I38" s="4">
        <v>68</v>
      </c>
      <c r="J38" s="4">
        <v>76</v>
      </c>
      <c r="K38" s="4">
        <v>77</v>
      </c>
      <c r="L38" s="4">
        <v>65</v>
      </c>
      <c r="M38" s="4">
        <v>723</v>
      </c>
    </row>
    <row r="39" spans="1:13" x14ac:dyDescent="0.25">
      <c r="A39" s="3" t="s">
        <v>57</v>
      </c>
      <c r="B39" s="4">
        <v>70</v>
      </c>
      <c r="C39" s="4">
        <v>60</v>
      </c>
      <c r="D39" s="4">
        <v>65</v>
      </c>
      <c r="E39" s="4">
        <v>66</v>
      </c>
      <c r="F39" s="4">
        <v>65</v>
      </c>
      <c r="G39" s="4">
        <v>76</v>
      </c>
      <c r="H39" s="4">
        <v>76</v>
      </c>
      <c r="I39" s="4">
        <v>56</v>
      </c>
      <c r="J39" s="4">
        <v>65</v>
      </c>
      <c r="K39" s="4">
        <v>76</v>
      </c>
      <c r="L39" s="4">
        <v>65</v>
      </c>
      <c r="M39" s="4">
        <v>740</v>
      </c>
    </row>
    <row r="40" spans="1:13" x14ac:dyDescent="0.25">
      <c r="A40" s="3" t="s">
        <v>49</v>
      </c>
      <c r="B40" s="4">
        <v>77</v>
      </c>
      <c r="C40" s="4">
        <v>65</v>
      </c>
      <c r="D40" s="4">
        <v>55</v>
      </c>
      <c r="E40" s="4">
        <v>76</v>
      </c>
      <c r="F40" s="4">
        <v>78</v>
      </c>
      <c r="G40" s="4">
        <v>90</v>
      </c>
      <c r="H40" s="4">
        <v>87</v>
      </c>
      <c r="I40" s="4">
        <v>67</v>
      </c>
      <c r="J40" s="4">
        <v>89</v>
      </c>
      <c r="K40" s="4">
        <v>80</v>
      </c>
      <c r="L40" s="4">
        <v>76</v>
      </c>
      <c r="M40" s="4">
        <v>840</v>
      </c>
    </row>
    <row r="41" spans="1:13" x14ac:dyDescent="0.25">
      <c r="A41" s="3" t="s">
        <v>74</v>
      </c>
      <c r="B41" s="4">
        <v>76</v>
      </c>
      <c r="C41" s="4">
        <v>75</v>
      </c>
      <c r="D41" s="4">
        <v>74</v>
      </c>
      <c r="E41" s="4">
        <v>70</v>
      </c>
      <c r="F41" s="4">
        <v>66</v>
      </c>
      <c r="G41" s="4">
        <v>68</v>
      </c>
      <c r="H41" s="4">
        <v>70</v>
      </c>
      <c r="I41" s="4">
        <v>81</v>
      </c>
      <c r="J41" s="4">
        <v>75</v>
      </c>
      <c r="K41" s="4">
        <v>77</v>
      </c>
      <c r="L41" s="4">
        <v>76</v>
      </c>
      <c r="M41" s="4">
        <v>808</v>
      </c>
    </row>
    <row r="42" spans="1:13" x14ac:dyDescent="0.25">
      <c r="A42" s="3" t="s">
        <v>14</v>
      </c>
      <c r="B42" s="4">
        <v>67</v>
      </c>
      <c r="C42" s="4">
        <v>89</v>
      </c>
      <c r="D42" s="4">
        <v>67</v>
      </c>
      <c r="E42" s="4">
        <v>89</v>
      </c>
      <c r="F42" s="4">
        <v>65</v>
      </c>
      <c r="G42" s="4">
        <v>80</v>
      </c>
      <c r="H42" s="4">
        <v>67</v>
      </c>
      <c r="I42" s="4">
        <v>65</v>
      </c>
      <c r="J42" s="4">
        <v>54</v>
      </c>
      <c r="K42" s="4">
        <v>63</v>
      </c>
      <c r="L42" s="4">
        <v>78</v>
      </c>
      <c r="M42" s="4">
        <v>784</v>
      </c>
    </row>
    <row r="43" spans="1:13" x14ac:dyDescent="0.25">
      <c r="A43" s="3" t="s">
        <v>43</v>
      </c>
      <c r="B43" s="4">
        <v>77</v>
      </c>
      <c r="C43" s="4">
        <v>76</v>
      </c>
      <c r="D43" s="4">
        <v>67</v>
      </c>
      <c r="E43" s="4">
        <v>66</v>
      </c>
      <c r="F43" s="4">
        <v>78</v>
      </c>
      <c r="G43" s="4">
        <v>66</v>
      </c>
      <c r="H43" s="4">
        <v>55</v>
      </c>
      <c r="I43" s="4">
        <v>54</v>
      </c>
      <c r="J43" s="4">
        <v>56</v>
      </c>
      <c r="K43" s="4">
        <v>67</v>
      </c>
      <c r="L43" s="4">
        <v>80</v>
      </c>
      <c r="M43" s="4">
        <v>742</v>
      </c>
    </row>
    <row r="44" spans="1:13" x14ac:dyDescent="0.25">
      <c r="A44" s="3" t="s">
        <v>59</v>
      </c>
      <c r="B44" s="4">
        <v>71</v>
      </c>
      <c r="C44" s="4">
        <v>65</v>
      </c>
      <c r="D44" s="4">
        <v>65</v>
      </c>
      <c r="E44" s="4">
        <v>67</v>
      </c>
      <c r="F44" s="4">
        <v>78</v>
      </c>
      <c r="G44" s="4">
        <v>65</v>
      </c>
      <c r="H44" s="4">
        <v>67</v>
      </c>
      <c r="I44" s="4">
        <v>76</v>
      </c>
      <c r="J44" s="4">
        <v>75</v>
      </c>
      <c r="K44" s="4">
        <v>76</v>
      </c>
      <c r="L44" s="4">
        <v>65</v>
      </c>
      <c r="M44" s="4">
        <v>770</v>
      </c>
    </row>
    <row r="45" spans="1:13" x14ac:dyDescent="0.25">
      <c r="A45" s="3" t="s">
        <v>36</v>
      </c>
      <c r="B45" s="4">
        <v>76</v>
      </c>
      <c r="C45" s="4">
        <v>75</v>
      </c>
      <c r="D45" s="4">
        <v>76</v>
      </c>
      <c r="E45" s="4">
        <v>75</v>
      </c>
      <c r="F45" s="4">
        <v>74</v>
      </c>
      <c r="G45" s="4">
        <v>65</v>
      </c>
      <c r="H45" s="4">
        <v>67</v>
      </c>
      <c r="I45" s="4">
        <v>78</v>
      </c>
      <c r="J45" s="4">
        <v>76</v>
      </c>
      <c r="K45" s="4">
        <v>72</v>
      </c>
      <c r="L45" s="4">
        <v>71</v>
      </c>
      <c r="M45" s="4">
        <v>805</v>
      </c>
    </row>
    <row r="46" spans="1:13" x14ac:dyDescent="0.25">
      <c r="A46" s="3" t="s">
        <v>75</v>
      </c>
      <c r="B46" s="4">
        <v>2968</v>
      </c>
      <c r="C46" s="4">
        <v>3072</v>
      </c>
      <c r="D46" s="4">
        <v>3155</v>
      </c>
      <c r="E46" s="4">
        <v>3060</v>
      </c>
      <c r="F46" s="4">
        <v>3077</v>
      </c>
      <c r="G46" s="4">
        <v>3008</v>
      </c>
      <c r="H46" s="4">
        <v>2997</v>
      </c>
      <c r="I46" s="4">
        <v>2972</v>
      </c>
      <c r="J46" s="4">
        <v>3090</v>
      </c>
      <c r="K46" s="4">
        <v>2946</v>
      </c>
      <c r="L46" s="4">
        <v>2986</v>
      </c>
      <c r="M46" s="4">
        <v>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D37" sqref="D37"/>
    </sheetView>
  </sheetViews>
  <sheetFormatPr defaultRowHeight="15" x14ac:dyDescent="0.25"/>
  <cols>
    <col min="1" max="1" width="16.28515625" bestFit="1" customWidth="1"/>
    <col min="4" max="4" width="10.140625" bestFit="1" customWidth="1"/>
    <col min="6" max="6" width="10.85546875" bestFit="1" customWidth="1"/>
    <col min="9" max="9" width="11.85546875" bestFit="1" customWidth="1"/>
    <col min="10" max="10" width="10.85546875" bestFit="1" customWidth="1"/>
    <col min="11" max="11" width="10.42578125" bestFit="1" customWidth="1"/>
    <col min="12" max="12" width="13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71</v>
      </c>
      <c r="N1" s="1" t="s">
        <v>72</v>
      </c>
    </row>
    <row r="2" spans="1:14" x14ac:dyDescent="0.25">
      <c r="A2" t="s">
        <v>12</v>
      </c>
      <c r="B2">
        <v>85</v>
      </c>
      <c r="C2">
        <v>81</v>
      </c>
      <c r="D2">
        <v>80</v>
      </c>
      <c r="E2">
        <v>80</v>
      </c>
      <c r="F2">
        <v>87</v>
      </c>
      <c r="G2">
        <v>86</v>
      </c>
      <c r="H2">
        <v>80</v>
      </c>
      <c r="I2">
        <v>80</v>
      </c>
      <c r="J2">
        <v>90</v>
      </c>
      <c r="K2">
        <v>80</v>
      </c>
      <c r="L2">
        <v>83</v>
      </c>
      <c r="M2">
        <f>SUM(B2:L2)</f>
        <v>912</v>
      </c>
      <c r="N2" t="str">
        <f>IF(M2&gt;=700,"PASS","FAIL")</f>
        <v>PASS</v>
      </c>
    </row>
    <row r="3" spans="1:14" x14ac:dyDescent="0.25">
      <c r="A3" t="s">
        <v>13</v>
      </c>
      <c r="B3">
        <v>65</v>
      </c>
      <c r="C3">
        <v>76</v>
      </c>
      <c r="D3">
        <v>89</v>
      </c>
      <c r="E3">
        <v>45</v>
      </c>
      <c r="F3">
        <v>76</v>
      </c>
      <c r="G3">
        <v>74</v>
      </c>
      <c r="H3">
        <v>56</v>
      </c>
      <c r="I3">
        <v>58</v>
      </c>
      <c r="J3">
        <v>87</v>
      </c>
      <c r="K3">
        <v>56</v>
      </c>
      <c r="L3">
        <v>70</v>
      </c>
      <c r="M3">
        <f t="shared" ref="M3:M51" si="0">SUM(B3:L3)</f>
        <v>752</v>
      </c>
      <c r="N3" t="str">
        <f t="shared" ref="N3:N51" si="1">IF(M3&gt;=700,"PASS","FAIL")</f>
        <v>PASS</v>
      </c>
    </row>
    <row r="4" spans="1:14" x14ac:dyDescent="0.25">
      <c r="A4" t="s">
        <v>14</v>
      </c>
      <c r="B4">
        <v>67</v>
      </c>
      <c r="C4">
        <v>89</v>
      </c>
      <c r="D4">
        <v>67</v>
      </c>
      <c r="E4">
        <v>89</v>
      </c>
      <c r="F4">
        <v>65</v>
      </c>
      <c r="G4">
        <v>80</v>
      </c>
      <c r="H4">
        <v>67</v>
      </c>
      <c r="I4">
        <v>65</v>
      </c>
      <c r="J4">
        <v>54</v>
      </c>
      <c r="K4">
        <v>63</v>
      </c>
      <c r="L4">
        <v>78</v>
      </c>
      <c r="M4">
        <f t="shared" si="0"/>
        <v>784</v>
      </c>
      <c r="N4" t="str">
        <f t="shared" si="1"/>
        <v>PASS</v>
      </c>
    </row>
    <row r="5" spans="1:14" x14ac:dyDescent="0.25">
      <c r="A5" t="s">
        <v>15</v>
      </c>
      <c r="B5">
        <v>78</v>
      </c>
      <c r="C5">
        <v>98</v>
      </c>
      <c r="D5">
        <v>67</v>
      </c>
      <c r="E5">
        <v>87</v>
      </c>
      <c r="F5">
        <v>83</v>
      </c>
      <c r="G5">
        <v>72</v>
      </c>
      <c r="H5">
        <v>72</v>
      </c>
      <c r="I5">
        <v>75</v>
      </c>
      <c r="J5">
        <v>74</v>
      </c>
      <c r="K5">
        <v>65</v>
      </c>
      <c r="L5">
        <v>67</v>
      </c>
      <c r="M5">
        <f t="shared" si="0"/>
        <v>838</v>
      </c>
      <c r="N5" t="str">
        <f t="shared" si="1"/>
        <v>PASS</v>
      </c>
    </row>
    <row r="6" spans="1:14" x14ac:dyDescent="0.25">
      <c r="A6" t="s">
        <v>16</v>
      </c>
      <c r="B6">
        <v>67</v>
      </c>
      <c r="C6">
        <v>67</v>
      </c>
      <c r="D6">
        <v>98</v>
      </c>
      <c r="E6">
        <v>87</v>
      </c>
      <c r="F6">
        <v>76</v>
      </c>
      <c r="G6">
        <v>75</v>
      </c>
      <c r="H6">
        <v>87</v>
      </c>
      <c r="I6">
        <v>76</v>
      </c>
      <c r="J6">
        <v>78</v>
      </c>
      <c r="K6">
        <v>76</v>
      </c>
      <c r="L6">
        <v>65</v>
      </c>
      <c r="M6">
        <f t="shared" si="0"/>
        <v>852</v>
      </c>
      <c r="N6" t="str">
        <f t="shared" si="1"/>
        <v>PASS</v>
      </c>
    </row>
    <row r="7" spans="1:14" x14ac:dyDescent="0.25">
      <c r="A7" t="s">
        <v>17</v>
      </c>
      <c r="B7">
        <v>78</v>
      </c>
      <c r="C7">
        <v>78</v>
      </c>
      <c r="D7">
        <v>76</v>
      </c>
      <c r="E7">
        <v>98</v>
      </c>
      <c r="F7">
        <v>78</v>
      </c>
      <c r="G7">
        <v>76</v>
      </c>
      <c r="H7">
        <v>56</v>
      </c>
      <c r="I7">
        <v>65</v>
      </c>
      <c r="J7">
        <v>65</v>
      </c>
      <c r="K7">
        <v>78</v>
      </c>
      <c r="L7">
        <v>98</v>
      </c>
      <c r="M7">
        <f t="shared" si="0"/>
        <v>846</v>
      </c>
      <c r="N7" t="str">
        <f t="shared" si="1"/>
        <v>PASS</v>
      </c>
    </row>
    <row r="8" spans="1:14" x14ac:dyDescent="0.25">
      <c r="A8" t="s">
        <v>18</v>
      </c>
      <c r="B8">
        <v>90</v>
      </c>
      <c r="C8">
        <v>98</v>
      </c>
      <c r="D8">
        <v>76</v>
      </c>
      <c r="E8">
        <v>65</v>
      </c>
      <c r="F8">
        <v>67</v>
      </c>
      <c r="G8">
        <v>87</v>
      </c>
      <c r="H8">
        <v>89</v>
      </c>
      <c r="I8">
        <v>76</v>
      </c>
      <c r="J8">
        <v>75</v>
      </c>
      <c r="K8">
        <v>76</v>
      </c>
      <c r="L8">
        <v>75</v>
      </c>
      <c r="M8">
        <f t="shared" si="0"/>
        <v>874</v>
      </c>
      <c r="N8" t="str">
        <f t="shared" si="1"/>
        <v>PASS</v>
      </c>
    </row>
    <row r="9" spans="1:14" x14ac:dyDescent="0.25">
      <c r="A9" t="s">
        <v>19</v>
      </c>
      <c r="B9">
        <v>65</v>
      </c>
      <c r="C9">
        <v>67</v>
      </c>
      <c r="D9">
        <v>87</v>
      </c>
      <c r="E9">
        <v>76</v>
      </c>
      <c r="F9">
        <v>75</v>
      </c>
      <c r="G9">
        <v>74</v>
      </c>
      <c r="H9">
        <v>71</v>
      </c>
      <c r="I9">
        <v>73</v>
      </c>
      <c r="J9">
        <v>75</v>
      </c>
      <c r="K9">
        <v>73</v>
      </c>
      <c r="L9">
        <v>87</v>
      </c>
      <c r="M9">
        <f t="shared" si="0"/>
        <v>823</v>
      </c>
      <c r="N9" t="str">
        <f t="shared" si="1"/>
        <v>PASS</v>
      </c>
    </row>
    <row r="10" spans="1:14" x14ac:dyDescent="0.25">
      <c r="A10" t="s">
        <v>20</v>
      </c>
      <c r="B10">
        <v>65</v>
      </c>
      <c r="C10">
        <v>76</v>
      </c>
      <c r="D10">
        <v>87</v>
      </c>
      <c r="E10">
        <v>98</v>
      </c>
      <c r="F10">
        <v>78</v>
      </c>
      <c r="G10">
        <v>76</v>
      </c>
      <c r="H10">
        <v>58</v>
      </c>
      <c r="I10">
        <v>76</v>
      </c>
      <c r="J10">
        <v>98</v>
      </c>
      <c r="K10">
        <v>67</v>
      </c>
      <c r="L10">
        <v>65</v>
      </c>
      <c r="M10">
        <f t="shared" si="0"/>
        <v>844</v>
      </c>
      <c r="N10" t="str">
        <f t="shared" si="1"/>
        <v>PASS</v>
      </c>
    </row>
    <row r="11" spans="1:14" x14ac:dyDescent="0.25">
      <c r="A11" t="s">
        <v>21</v>
      </c>
      <c r="B11">
        <v>65</v>
      </c>
      <c r="C11">
        <v>87</v>
      </c>
      <c r="D11">
        <v>91</v>
      </c>
      <c r="E11">
        <v>68</v>
      </c>
      <c r="F11">
        <v>88</v>
      </c>
      <c r="G11">
        <v>66</v>
      </c>
      <c r="H11">
        <v>78</v>
      </c>
      <c r="I11">
        <v>77</v>
      </c>
      <c r="J11">
        <v>85</v>
      </c>
      <c r="K11">
        <v>56</v>
      </c>
      <c r="L11">
        <v>66</v>
      </c>
      <c r="M11">
        <f t="shared" si="0"/>
        <v>827</v>
      </c>
      <c r="N11" t="str">
        <f t="shared" si="1"/>
        <v>PASS</v>
      </c>
    </row>
    <row r="12" spans="1:14" x14ac:dyDescent="0.25">
      <c r="A12" t="s">
        <v>22</v>
      </c>
      <c r="B12">
        <v>56</v>
      </c>
      <c r="C12">
        <v>87</v>
      </c>
      <c r="D12">
        <v>78</v>
      </c>
      <c r="E12">
        <v>76</v>
      </c>
      <c r="F12">
        <v>65</v>
      </c>
      <c r="G12">
        <v>76</v>
      </c>
      <c r="H12">
        <v>78</v>
      </c>
      <c r="I12">
        <v>78</v>
      </c>
      <c r="J12">
        <v>75</v>
      </c>
      <c r="K12">
        <v>75</v>
      </c>
      <c r="L12">
        <v>74</v>
      </c>
      <c r="M12">
        <f t="shared" si="0"/>
        <v>818</v>
      </c>
      <c r="N12" t="str">
        <f t="shared" si="1"/>
        <v>PASS</v>
      </c>
    </row>
    <row r="13" spans="1:14" x14ac:dyDescent="0.25">
      <c r="A13" t="s">
        <v>23</v>
      </c>
      <c r="B13">
        <v>80</v>
      </c>
      <c r="C13">
        <v>79</v>
      </c>
      <c r="D13">
        <v>78</v>
      </c>
      <c r="E13">
        <v>67</v>
      </c>
      <c r="F13">
        <v>75</v>
      </c>
      <c r="G13">
        <v>65</v>
      </c>
      <c r="H13">
        <v>76</v>
      </c>
      <c r="I13">
        <v>87</v>
      </c>
      <c r="J13">
        <v>76</v>
      </c>
      <c r="K13">
        <v>67</v>
      </c>
      <c r="L13">
        <v>67</v>
      </c>
      <c r="M13">
        <f t="shared" si="0"/>
        <v>817</v>
      </c>
      <c r="N13" t="str">
        <f t="shared" si="1"/>
        <v>PASS</v>
      </c>
    </row>
    <row r="14" spans="1:14" x14ac:dyDescent="0.25">
      <c r="A14" t="s">
        <v>24</v>
      </c>
      <c r="B14">
        <v>78</v>
      </c>
      <c r="C14">
        <v>80</v>
      </c>
      <c r="D14">
        <v>65</v>
      </c>
      <c r="E14">
        <v>67</v>
      </c>
      <c r="F14">
        <v>65</v>
      </c>
      <c r="G14">
        <v>67</v>
      </c>
      <c r="H14">
        <v>87</v>
      </c>
      <c r="I14">
        <v>65</v>
      </c>
      <c r="J14">
        <v>66</v>
      </c>
      <c r="K14">
        <v>54</v>
      </c>
      <c r="L14">
        <v>67</v>
      </c>
      <c r="M14">
        <f t="shared" si="0"/>
        <v>761</v>
      </c>
      <c r="N14" t="str">
        <f t="shared" si="1"/>
        <v>PASS</v>
      </c>
    </row>
    <row r="15" spans="1:14" x14ac:dyDescent="0.25">
      <c r="A15" t="s">
        <v>25</v>
      </c>
      <c r="B15">
        <v>76</v>
      </c>
      <c r="C15">
        <v>76</v>
      </c>
      <c r="D15">
        <v>76</v>
      </c>
      <c r="E15">
        <v>75</v>
      </c>
      <c r="F15">
        <v>76</v>
      </c>
      <c r="G15">
        <v>75</v>
      </c>
      <c r="H15">
        <v>74</v>
      </c>
      <c r="I15">
        <v>73</v>
      </c>
      <c r="J15">
        <v>71</v>
      </c>
      <c r="K15">
        <v>80</v>
      </c>
      <c r="L15">
        <v>80</v>
      </c>
      <c r="M15">
        <f t="shared" si="0"/>
        <v>832</v>
      </c>
      <c r="N15" t="str">
        <f t="shared" si="1"/>
        <v>PASS</v>
      </c>
    </row>
    <row r="16" spans="1:14" x14ac:dyDescent="0.25">
      <c r="A16" t="s">
        <v>26</v>
      </c>
      <c r="B16">
        <v>60</v>
      </c>
      <c r="C16">
        <v>65</v>
      </c>
      <c r="D16">
        <v>66</v>
      </c>
      <c r="E16">
        <v>76</v>
      </c>
      <c r="F16">
        <v>78</v>
      </c>
      <c r="G16">
        <v>98</v>
      </c>
      <c r="H16">
        <v>67</v>
      </c>
      <c r="I16">
        <v>55</v>
      </c>
      <c r="J16">
        <v>43</v>
      </c>
      <c r="K16">
        <v>32</v>
      </c>
      <c r="L16">
        <v>56</v>
      </c>
      <c r="M16">
        <f t="shared" si="0"/>
        <v>696</v>
      </c>
      <c r="N16" t="str">
        <f t="shared" si="1"/>
        <v>FAIL</v>
      </c>
    </row>
    <row r="17" spans="1:14" x14ac:dyDescent="0.25">
      <c r="A17" t="s">
        <v>27</v>
      </c>
      <c r="B17">
        <v>57</v>
      </c>
      <c r="C17">
        <v>56</v>
      </c>
      <c r="D17">
        <v>60</v>
      </c>
      <c r="E17">
        <v>60</v>
      </c>
      <c r="F17">
        <v>65</v>
      </c>
      <c r="G17">
        <v>66</v>
      </c>
      <c r="H17">
        <v>64</v>
      </c>
      <c r="I17">
        <v>63</v>
      </c>
      <c r="J17">
        <v>62</v>
      </c>
      <c r="K17">
        <v>65</v>
      </c>
      <c r="L17">
        <v>69</v>
      </c>
      <c r="M17">
        <f t="shared" si="0"/>
        <v>687</v>
      </c>
      <c r="N17" t="str">
        <f t="shared" si="1"/>
        <v>FAIL</v>
      </c>
    </row>
    <row r="18" spans="1:14" x14ac:dyDescent="0.25">
      <c r="A18" t="s">
        <v>28</v>
      </c>
      <c r="B18">
        <v>35</v>
      </c>
      <c r="C18">
        <v>40</v>
      </c>
      <c r="D18">
        <v>55</v>
      </c>
      <c r="E18">
        <v>43</v>
      </c>
      <c r="F18">
        <v>60</v>
      </c>
      <c r="G18">
        <v>60</v>
      </c>
      <c r="H18">
        <v>56</v>
      </c>
      <c r="I18">
        <v>54</v>
      </c>
      <c r="J18">
        <v>53</v>
      </c>
      <c r="K18">
        <v>70</v>
      </c>
      <c r="L18">
        <v>71</v>
      </c>
      <c r="M18">
        <f t="shared" si="0"/>
        <v>597</v>
      </c>
      <c r="N18" t="str">
        <f t="shared" si="1"/>
        <v>FAIL</v>
      </c>
    </row>
    <row r="19" spans="1:14" x14ac:dyDescent="0.25">
      <c r="A19" t="s">
        <v>29</v>
      </c>
      <c r="B19">
        <v>54</v>
      </c>
      <c r="C19">
        <v>65</v>
      </c>
      <c r="D19">
        <v>29</v>
      </c>
      <c r="E19">
        <v>56</v>
      </c>
      <c r="F19">
        <v>70</v>
      </c>
      <c r="G19">
        <v>43</v>
      </c>
      <c r="H19">
        <v>56</v>
      </c>
      <c r="I19">
        <v>71</v>
      </c>
      <c r="J19">
        <v>40</v>
      </c>
      <c r="K19">
        <v>36</v>
      </c>
      <c r="L19">
        <v>33</v>
      </c>
      <c r="M19">
        <f t="shared" si="0"/>
        <v>553</v>
      </c>
      <c r="N19" t="str">
        <f t="shared" si="1"/>
        <v>FAIL</v>
      </c>
    </row>
    <row r="20" spans="1:14" x14ac:dyDescent="0.25">
      <c r="A20" t="s">
        <v>30</v>
      </c>
      <c r="B20">
        <v>67</v>
      </c>
      <c r="C20">
        <v>68</v>
      </c>
      <c r="D20">
        <v>69</v>
      </c>
      <c r="E20">
        <v>70</v>
      </c>
      <c r="F20">
        <v>71</v>
      </c>
      <c r="G20">
        <v>72</v>
      </c>
      <c r="H20">
        <v>73</v>
      </c>
      <c r="I20">
        <v>74</v>
      </c>
      <c r="J20">
        <v>75</v>
      </c>
      <c r="K20">
        <v>76</v>
      </c>
      <c r="L20">
        <v>78</v>
      </c>
      <c r="M20">
        <f t="shared" si="0"/>
        <v>793</v>
      </c>
      <c r="N20" t="str">
        <f t="shared" si="1"/>
        <v>PASS</v>
      </c>
    </row>
    <row r="21" spans="1:14" x14ac:dyDescent="0.25">
      <c r="A21" t="s">
        <v>31</v>
      </c>
      <c r="B21">
        <v>71</v>
      </c>
      <c r="C21">
        <v>73</v>
      </c>
      <c r="D21">
        <v>75</v>
      </c>
      <c r="E21">
        <v>77</v>
      </c>
      <c r="F21">
        <v>79</v>
      </c>
      <c r="G21">
        <v>80</v>
      </c>
      <c r="H21">
        <v>70</v>
      </c>
      <c r="I21">
        <v>69</v>
      </c>
      <c r="J21">
        <v>67</v>
      </c>
      <c r="K21">
        <v>80</v>
      </c>
      <c r="L21">
        <v>70</v>
      </c>
      <c r="M21">
        <f t="shared" si="0"/>
        <v>811</v>
      </c>
      <c r="N21" t="str">
        <f t="shared" si="1"/>
        <v>PASS</v>
      </c>
    </row>
    <row r="22" spans="1:14" x14ac:dyDescent="0.25">
      <c r="A22" t="s">
        <v>41</v>
      </c>
      <c r="B22">
        <v>45</v>
      </c>
      <c r="C22">
        <v>62</v>
      </c>
      <c r="D22">
        <v>65</v>
      </c>
      <c r="E22">
        <v>76</v>
      </c>
      <c r="F22">
        <v>54</v>
      </c>
      <c r="G22">
        <v>56</v>
      </c>
      <c r="H22">
        <v>54</v>
      </c>
      <c r="I22">
        <v>53</v>
      </c>
      <c r="J22">
        <v>56</v>
      </c>
      <c r="K22">
        <v>70</v>
      </c>
      <c r="L22">
        <v>69</v>
      </c>
      <c r="M22">
        <f t="shared" si="0"/>
        <v>660</v>
      </c>
      <c r="N22" t="str">
        <f t="shared" si="1"/>
        <v>FAIL</v>
      </c>
    </row>
    <row r="23" spans="1:14" x14ac:dyDescent="0.25">
      <c r="A23" t="s">
        <v>32</v>
      </c>
      <c r="B23">
        <v>70</v>
      </c>
      <c r="C23">
        <v>65</v>
      </c>
      <c r="D23">
        <v>67</v>
      </c>
      <c r="E23">
        <v>68</v>
      </c>
      <c r="F23">
        <v>75</v>
      </c>
      <c r="G23">
        <v>76</v>
      </c>
      <c r="H23">
        <v>74</v>
      </c>
      <c r="I23">
        <v>75</v>
      </c>
      <c r="J23">
        <v>76</v>
      </c>
      <c r="K23">
        <v>76</v>
      </c>
      <c r="L23">
        <v>65</v>
      </c>
      <c r="M23">
        <f t="shared" si="0"/>
        <v>787</v>
      </c>
      <c r="N23" t="str">
        <f t="shared" si="1"/>
        <v>PASS</v>
      </c>
    </row>
    <row r="24" spans="1:14" x14ac:dyDescent="0.25">
      <c r="A24" t="s">
        <v>33</v>
      </c>
      <c r="B24">
        <v>80</v>
      </c>
      <c r="C24">
        <v>80</v>
      </c>
      <c r="D24">
        <v>80</v>
      </c>
      <c r="E24">
        <v>75</v>
      </c>
      <c r="F24">
        <v>74</v>
      </c>
      <c r="G24">
        <v>73</v>
      </c>
      <c r="H24">
        <v>75</v>
      </c>
      <c r="I24">
        <v>76</v>
      </c>
      <c r="J24">
        <v>71</v>
      </c>
      <c r="K24">
        <v>80</v>
      </c>
      <c r="L24">
        <v>67</v>
      </c>
      <c r="M24">
        <f t="shared" si="0"/>
        <v>831</v>
      </c>
      <c r="N24" t="str">
        <f t="shared" si="1"/>
        <v>PASS</v>
      </c>
    </row>
    <row r="25" spans="1:14" x14ac:dyDescent="0.25">
      <c r="A25" t="s">
        <v>34</v>
      </c>
      <c r="B25">
        <v>67</v>
      </c>
      <c r="C25">
        <v>89</v>
      </c>
      <c r="D25">
        <v>80</v>
      </c>
      <c r="E25">
        <v>60</v>
      </c>
      <c r="F25">
        <v>60</v>
      </c>
      <c r="G25">
        <v>67</v>
      </c>
      <c r="H25">
        <v>65</v>
      </c>
      <c r="I25">
        <v>64</v>
      </c>
      <c r="J25">
        <v>68</v>
      </c>
      <c r="K25">
        <v>65</v>
      </c>
      <c r="L25">
        <v>70</v>
      </c>
      <c r="M25">
        <f t="shared" si="0"/>
        <v>755</v>
      </c>
      <c r="N25" t="str">
        <f t="shared" si="1"/>
        <v>PASS</v>
      </c>
    </row>
    <row r="26" spans="1:14" x14ac:dyDescent="0.25">
      <c r="A26" t="s">
        <v>35</v>
      </c>
      <c r="B26">
        <v>34</v>
      </c>
      <c r="C26">
        <v>60</v>
      </c>
      <c r="D26">
        <v>67</v>
      </c>
      <c r="E26">
        <v>65</v>
      </c>
      <c r="F26">
        <v>60</v>
      </c>
      <c r="G26">
        <v>47</v>
      </c>
      <c r="H26">
        <v>89</v>
      </c>
      <c r="I26">
        <v>67</v>
      </c>
      <c r="J26">
        <v>56</v>
      </c>
      <c r="K26">
        <v>56</v>
      </c>
      <c r="L26">
        <v>67</v>
      </c>
      <c r="M26">
        <f t="shared" si="0"/>
        <v>668</v>
      </c>
      <c r="N26" t="str">
        <f t="shared" si="1"/>
        <v>FAIL</v>
      </c>
    </row>
    <row r="27" spans="1:14" x14ac:dyDescent="0.25">
      <c r="A27" t="s">
        <v>36</v>
      </c>
      <c r="B27">
        <v>76</v>
      </c>
      <c r="C27">
        <v>75</v>
      </c>
      <c r="D27">
        <v>76</v>
      </c>
      <c r="E27">
        <v>75</v>
      </c>
      <c r="F27">
        <v>74</v>
      </c>
      <c r="G27">
        <v>65</v>
      </c>
      <c r="H27">
        <v>67</v>
      </c>
      <c r="I27">
        <v>78</v>
      </c>
      <c r="J27">
        <v>76</v>
      </c>
      <c r="K27">
        <v>72</v>
      </c>
      <c r="L27">
        <v>71</v>
      </c>
      <c r="M27">
        <f t="shared" si="0"/>
        <v>805</v>
      </c>
      <c r="N27" t="str">
        <f t="shared" si="1"/>
        <v>PASS</v>
      </c>
    </row>
    <row r="28" spans="1:14" x14ac:dyDescent="0.25">
      <c r="A28" t="s">
        <v>37</v>
      </c>
      <c r="B28">
        <v>54</v>
      </c>
      <c r="C28">
        <v>67</v>
      </c>
      <c r="D28">
        <v>54</v>
      </c>
      <c r="E28">
        <v>53</v>
      </c>
      <c r="F28">
        <v>50</v>
      </c>
      <c r="G28">
        <v>56</v>
      </c>
      <c r="H28">
        <v>55</v>
      </c>
      <c r="I28">
        <v>64</v>
      </c>
      <c r="J28">
        <v>68</v>
      </c>
      <c r="K28">
        <v>76</v>
      </c>
      <c r="L28">
        <v>89</v>
      </c>
      <c r="M28">
        <f t="shared" si="0"/>
        <v>686</v>
      </c>
      <c r="N28" t="str">
        <f t="shared" si="1"/>
        <v>FAIL</v>
      </c>
    </row>
    <row r="29" spans="1:14" x14ac:dyDescent="0.25">
      <c r="A29" t="s">
        <v>38</v>
      </c>
      <c r="B29">
        <v>56</v>
      </c>
      <c r="C29">
        <v>56</v>
      </c>
      <c r="D29">
        <v>76</v>
      </c>
      <c r="E29">
        <v>75</v>
      </c>
      <c r="F29">
        <v>74</v>
      </c>
      <c r="G29">
        <v>73</v>
      </c>
      <c r="H29">
        <v>75</v>
      </c>
      <c r="I29">
        <v>65</v>
      </c>
      <c r="J29">
        <v>65</v>
      </c>
      <c r="K29">
        <v>66</v>
      </c>
      <c r="L29">
        <v>76</v>
      </c>
      <c r="M29">
        <f t="shared" si="0"/>
        <v>757</v>
      </c>
      <c r="N29" t="str">
        <f t="shared" si="1"/>
        <v>PASS</v>
      </c>
    </row>
    <row r="30" spans="1:14" x14ac:dyDescent="0.25">
      <c r="A30" t="s">
        <v>39</v>
      </c>
      <c r="B30">
        <v>66</v>
      </c>
      <c r="C30">
        <v>78</v>
      </c>
      <c r="D30">
        <v>67</v>
      </c>
      <c r="E30">
        <v>65</v>
      </c>
      <c r="F30">
        <v>78</v>
      </c>
      <c r="G30">
        <v>79</v>
      </c>
      <c r="H30">
        <v>70</v>
      </c>
      <c r="I30">
        <v>60</v>
      </c>
      <c r="J30">
        <v>66</v>
      </c>
      <c r="K30">
        <v>67</v>
      </c>
      <c r="L30">
        <v>67</v>
      </c>
      <c r="M30">
        <f t="shared" si="0"/>
        <v>763</v>
      </c>
      <c r="N30" t="str">
        <f t="shared" si="1"/>
        <v>PASS</v>
      </c>
    </row>
    <row r="31" spans="1:14" x14ac:dyDescent="0.25">
      <c r="A31" t="s">
        <v>40</v>
      </c>
      <c r="B31">
        <v>67</v>
      </c>
      <c r="C31">
        <v>80</v>
      </c>
      <c r="D31">
        <v>67</v>
      </c>
      <c r="E31">
        <v>66</v>
      </c>
      <c r="F31">
        <v>78</v>
      </c>
      <c r="G31">
        <v>65</v>
      </c>
      <c r="H31">
        <v>67</v>
      </c>
      <c r="I31">
        <v>70</v>
      </c>
      <c r="J31">
        <v>76</v>
      </c>
      <c r="K31">
        <v>65</v>
      </c>
      <c r="L31">
        <v>78</v>
      </c>
      <c r="M31">
        <f t="shared" si="0"/>
        <v>779</v>
      </c>
      <c r="N31" t="str">
        <f t="shared" si="1"/>
        <v>PASS</v>
      </c>
    </row>
    <row r="32" spans="1:14" x14ac:dyDescent="0.25">
      <c r="A32" t="s">
        <v>41</v>
      </c>
      <c r="B32">
        <v>66</v>
      </c>
      <c r="C32">
        <v>67</v>
      </c>
      <c r="D32">
        <v>76</v>
      </c>
      <c r="E32">
        <v>75</v>
      </c>
      <c r="F32">
        <v>56</v>
      </c>
      <c r="G32">
        <v>40</v>
      </c>
      <c r="H32">
        <v>57</v>
      </c>
      <c r="I32">
        <v>68</v>
      </c>
      <c r="J32">
        <v>76</v>
      </c>
      <c r="K32">
        <v>77</v>
      </c>
      <c r="L32">
        <v>65</v>
      </c>
      <c r="M32">
        <f t="shared" si="0"/>
        <v>723</v>
      </c>
      <c r="N32" t="str">
        <f t="shared" si="1"/>
        <v>PASS</v>
      </c>
    </row>
    <row r="33" spans="1:14" x14ac:dyDescent="0.25">
      <c r="A33" t="s">
        <v>42</v>
      </c>
      <c r="B33">
        <v>78</v>
      </c>
      <c r="C33">
        <v>67</v>
      </c>
      <c r="D33">
        <v>78</v>
      </c>
      <c r="E33">
        <v>66</v>
      </c>
      <c r="F33">
        <v>67</v>
      </c>
      <c r="G33">
        <v>66</v>
      </c>
      <c r="H33">
        <v>80</v>
      </c>
      <c r="I33">
        <v>68</v>
      </c>
      <c r="J33">
        <v>67</v>
      </c>
      <c r="K33">
        <v>66</v>
      </c>
      <c r="L33">
        <v>45</v>
      </c>
      <c r="M33">
        <f t="shared" si="0"/>
        <v>748</v>
      </c>
      <c r="N33" t="str">
        <f t="shared" si="1"/>
        <v>PASS</v>
      </c>
    </row>
    <row r="34" spans="1:14" x14ac:dyDescent="0.25">
      <c r="A34" t="s">
        <v>43</v>
      </c>
      <c r="B34">
        <v>77</v>
      </c>
      <c r="C34">
        <v>76</v>
      </c>
      <c r="D34">
        <v>67</v>
      </c>
      <c r="E34">
        <v>66</v>
      </c>
      <c r="F34">
        <v>78</v>
      </c>
      <c r="G34">
        <v>66</v>
      </c>
      <c r="H34">
        <v>55</v>
      </c>
      <c r="I34">
        <v>54</v>
      </c>
      <c r="J34">
        <v>56</v>
      </c>
      <c r="K34">
        <v>67</v>
      </c>
      <c r="L34">
        <v>80</v>
      </c>
      <c r="M34">
        <f t="shared" si="0"/>
        <v>742</v>
      </c>
      <c r="N34" t="str">
        <f t="shared" si="1"/>
        <v>PASS</v>
      </c>
    </row>
    <row r="35" spans="1:14" x14ac:dyDescent="0.25">
      <c r="A35" t="s">
        <v>44</v>
      </c>
      <c r="B35">
        <v>66</v>
      </c>
      <c r="C35">
        <v>67</v>
      </c>
      <c r="D35">
        <v>87</v>
      </c>
      <c r="E35">
        <v>87</v>
      </c>
      <c r="F35">
        <v>81</v>
      </c>
      <c r="G35">
        <v>80</v>
      </c>
      <c r="H35">
        <v>76</v>
      </c>
      <c r="I35">
        <v>65</v>
      </c>
      <c r="J35">
        <v>66</v>
      </c>
      <c r="K35">
        <v>67</v>
      </c>
      <c r="L35">
        <v>68</v>
      </c>
      <c r="M35">
        <f t="shared" si="0"/>
        <v>810</v>
      </c>
      <c r="N35" t="str">
        <f t="shared" si="1"/>
        <v>PASS</v>
      </c>
    </row>
    <row r="36" spans="1:14" x14ac:dyDescent="0.25">
      <c r="A36" t="s">
        <v>45</v>
      </c>
      <c r="B36">
        <v>80</v>
      </c>
      <c r="C36">
        <v>81</v>
      </c>
      <c r="D36">
        <v>83</v>
      </c>
      <c r="E36">
        <v>74</v>
      </c>
      <c r="F36">
        <v>77</v>
      </c>
      <c r="G36">
        <v>67</v>
      </c>
      <c r="H36">
        <v>66</v>
      </c>
      <c r="I36">
        <v>67</v>
      </c>
      <c r="J36">
        <v>65</v>
      </c>
      <c r="K36">
        <v>64</v>
      </c>
      <c r="L36">
        <v>80</v>
      </c>
      <c r="M36">
        <f t="shared" si="0"/>
        <v>804</v>
      </c>
      <c r="N36" t="str">
        <f t="shared" si="1"/>
        <v>PASS</v>
      </c>
    </row>
    <row r="37" spans="1:14" x14ac:dyDescent="0.25">
      <c r="A37" t="s">
        <v>46</v>
      </c>
      <c r="B37">
        <v>76</v>
      </c>
      <c r="C37">
        <v>75</v>
      </c>
      <c r="D37">
        <v>74</v>
      </c>
      <c r="E37">
        <v>70</v>
      </c>
      <c r="F37">
        <v>66</v>
      </c>
      <c r="G37">
        <v>68</v>
      </c>
      <c r="H37">
        <v>70</v>
      </c>
      <c r="I37">
        <v>81</v>
      </c>
      <c r="J37">
        <v>75</v>
      </c>
      <c r="K37">
        <v>77</v>
      </c>
      <c r="L37">
        <v>76</v>
      </c>
      <c r="M37">
        <f t="shared" si="0"/>
        <v>808</v>
      </c>
      <c r="N37" t="str">
        <f t="shared" si="1"/>
        <v>PASS</v>
      </c>
    </row>
    <row r="38" spans="1:14" x14ac:dyDescent="0.25">
      <c r="A38" t="s">
        <v>47</v>
      </c>
      <c r="B38">
        <v>56</v>
      </c>
      <c r="C38">
        <v>67</v>
      </c>
      <c r="D38">
        <v>78</v>
      </c>
      <c r="E38">
        <v>76</v>
      </c>
      <c r="F38">
        <v>75</v>
      </c>
      <c r="G38">
        <v>67</v>
      </c>
      <c r="H38">
        <v>65</v>
      </c>
      <c r="I38">
        <v>79</v>
      </c>
      <c r="J38">
        <v>78</v>
      </c>
      <c r="K38">
        <v>80</v>
      </c>
      <c r="L38">
        <v>71</v>
      </c>
      <c r="M38">
        <f t="shared" si="0"/>
        <v>792</v>
      </c>
      <c r="N38" t="str">
        <f t="shared" si="1"/>
        <v>PASS</v>
      </c>
    </row>
    <row r="39" spans="1:14" x14ac:dyDescent="0.25">
      <c r="A39" t="s">
        <v>48</v>
      </c>
      <c r="B39">
        <v>80</v>
      </c>
      <c r="C39">
        <v>56</v>
      </c>
      <c r="D39">
        <v>67</v>
      </c>
      <c r="E39">
        <v>87</v>
      </c>
      <c r="F39">
        <v>86</v>
      </c>
      <c r="G39">
        <v>76</v>
      </c>
      <c r="H39">
        <v>75</v>
      </c>
      <c r="I39">
        <v>76</v>
      </c>
      <c r="J39">
        <v>79</v>
      </c>
      <c r="K39">
        <v>56</v>
      </c>
      <c r="L39">
        <v>79</v>
      </c>
      <c r="M39">
        <f t="shared" si="0"/>
        <v>817</v>
      </c>
      <c r="N39" t="str">
        <f t="shared" si="1"/>
        <v>PASS</v>
      </c>
    </row>
    <row r="40" spans="1:14" x14ac:dyDescent="0.25">
      <c r="A40" t="s">
        <v>49</v>
      </c>
      <c r="B40">
        <v>77</v>
      </c>
      <c r="C40">
        <v>65</v>
      </c>
      <c r="D40">
        <v>55</v>
      </c>
      <c r="E40">
        <v>76</v>
      </c>
      <c r="F40">
        <v>78</v>
      </c>
      <c r="G40">
        <v>90</v>
      </c>
      <c r="H40">
        <v>87</v>
      </c>
      <c r="I40">
        <v>67</v>
      </c>
      <c r="J40">
        <v>89</v>
      </c>
      <c r="K40">
        <v>80</v>
      </c>
      <c r="L40">
        <v>76</v>
      </c>
      <c r="M40">
        <f t="shared" si="0"/>
        <v>840</v>
      </c>
      <c r="N40" t="str">
        <f t="shared" si="1"/>
        <v>PASS</v>
      </c>
    </row>
    <row r="41" spans="1:14" x14ac:dyDescent="0.25">
      <c r="A41" t="s">
        <v>50</v>
      </c>
      <c r="B41">
        <v>60</v>
      </c>
      <c r="C41">
        <v>56</v>
      </c>
      <c r="D41">
        <v>70</v>
      </c>
      <c r="E41">
        <v>75</v>
      </c>
      <c r="F41">
        <v>66</v>
      </c>
      <c r="G41">
        <v>67</v>
      </c>
      <c r="H41">
        <v>80</v>
      </c>
      <c r="I41">
        <v>76</v>
      </c>
      <c r="J41">
        <v>65</v>
      </c>
      <c r="K41">
        <v>66</v>
      </c>
      <c r="L41">
        <v>70</v>
      </c>
      <c r="M41">
        <f t="shared" si="0"/>
        <v>751</v>
      </c>
      <c r="N41" t="str">
        <f t="shared" si="1"/>
        <v>PASS</v>
      </c>
    </row>
    <row r="42" spans="1:14" x14ac:dyDescent="0.25">
      <c r="A42" t="s">
        <v>51</v>
      </c>
      <c r="B42">
        <v>56</v>
      </c>
      <c r="C42">
        <v>70</v>
      </c>
      <c r="D42">
        <v>76</v>
      </c>
      <c r="E42">
        <v>75</v>
      </c>
      <c r="F42">
        <v>70</v>
      </c>
      <c r="G42">
        <v>65</v>
      </c>
      <c r="H42">
        <v>67</v>
      </c>
      <c r="I42">
        <v>78</v>
      </c>
      <c r="J42">
        <v>76</v>
      </c>
      <c r="K42">
        <v>65</v>
      </c>
      <c r="L42">
        <v>70</v>
      </c>
      <c r="M42">
        <f t="shared" si="0"/>
        <v>768</v>
      </c>
      <c r="N42" t="str">
        <f t="shared" si="1"/>
        <v>PASS</v>
      </c>
    </row>
    <row r="43" spans="1:14" x14ac:dyDescent="0.25">
      <c r="A43" t="s">
        <v>52</v>
      </c>
      <c r="B43">
        <v>78</v>
      </c>
      <c r="C43">
        <v>76</v>
      </c>
      <c r="D43">
        <v>76</v>
      </c>
      <c r="E43">
        <v>77</v>
      </c>
      <c r="F43">
        <v>80</v>
      </c>
      <c r="G43">
        <v>65</v>
      </c>
      <c r="H43">
        <v>67</v>
      </c>
      <c r="I43">
        <v>80</v>
      </c>
      <c r="J43">
        <v>87</v>
      </c>
      <c r="K43">
        <v>76</v>
      </c>
      <c r="L43">
        <v>77</v>
      </c>
      <c r="M43">
        <f t="shared" si="0"/>
        <v>839</v>
      </c>
      <c r="N43" t="str">
        <f t="shared" si="1"/>
        <v>PASS</v>
      </c>
    </row>
    <row r="44" spans="1:14" x14ac:dyDescent="0.25">
      <c r="A44" t="s">
        <v>53</v>
      </c>
      <c r="B44">
        <v>78</v>
      </c>
      <c r="C44">
        <v>66</v>
      </c>
      <c r="D44">
        <v>65</v>
      </c>
      <c r="E44">
        <v>66</v>
      </c>
      <c r="F44">
        <v>54</v>
      </c>
      <c r="G44">
        <v>39</v>
      </c>
      <c r="H44">
        <v>70</v>
      </c>
      <c r="I44">
        <v>65</v>
      </c>
      <c r="J44">
        <v>45</v>
      </c>
      <c r="K44">
        <v>57</v>
      </c>
      <c r="L44">
        <v>80</v>
      </c>
      <c r="M44">
        <f t="shared" si="0"/>
        <v>685</v>
      </c>
      <c r="N44" t="str">
        <f t="shared" si="1"/>
        <v>FAIL</v>
      </c>
    </row>
    <row r="45" spans="1:14" x14ac:dyDescent="0.25">
      <c r="A45" t="s">
        <v>54</v>
      </c>
      <c r="B45">
        <v>76</v>
      </c>
      <c r="C45">
        <v>65</v>
      </c>
      <c r="D45">
        <v>78</v>
      </c>
      <c r="E45">
        <v>65</v>
      </c>
      <c r="F45">
        <v>66</v>
      </c>
      <c r="G45">
        <v>78</v>
      </c>
      <c r="H45">
        <v>75</v>
      </c>
      <c r="I45">
        <v>64</v>
      </c>
      <c r="J45">
        <v>65</v>
      </c>
      <c r="K45">
        <v>65</v>
      </c>
      <c r="L45">
        <v>45</v>
      </c>
      <c r="M45">
        <f t="shared" si="0"/>
        <v>742</v>
      </c>
      <c r="N45" t="str">
        <f t="shared" si="1"/>
        <v>PASS</v>
      </c>
    </row>
    <row r="46" spans="1:14" x14ac:dyDescent="0.25">
      <c r="A46" t="s">
        <v>55</v>
      </c>
      <c r="B46">
        <v>54</v>
      </c>
      <c r="C46">
        <v>65</v>
      </c>
      <c r="D46">
        <v>76</v>
      </c>
      <c r="E46">
        <v>76</v>
      </c>
      <c r="F46">
        <v>77</v>
      </c>
      <c r="G46">
        <v>65</v>
      </c>
      <c r="H46">
        <v>65</v>
      </c>
      <c r="I46">
        <v>76</v>
      </c>
      <c r="J46">
        <v>87</v>
      </c>
      <c r="K46">
        <v>65</v>
      </c>
      <c r="L46">
        <v>66</v>
      </c>
      <c r="M46">
        <f t="shared" si="0"/>
        <v>772</v>
      </c>
      <c r="N46" t="str">
        <f t="shared" si="1"/>
        <v>PASS</v>
      </c>
    </row>
    <row r="47" spans="1:14" x14ac:dyDescent="0.25">
      <c r="A47" t="s">
        <v>56</v>
      </c>
      <c r="B47">
        <v>77</v>
      </c>
      <c r="C47">
        <v>70</v>
      </c>
      <c r="D47">
        <v>60</v>
      </c>
      <c r="E47">
        <v>50</v>
      </c>
      <c r="F47">
        <v>60</v>
      </c>
      <c r="G47">
        <v>66</v>
      </c>
      <c r="H47">
        <v>65</v>
      </c>
      <c r="I47">
        <v>56</v>
      </c>
      <c r="J47">
        <v>76</v>
      </c>
      <c r="K47">
        <v>78</v>
      </c>
      <c r="L47">
        <v>80</v>
      </c>
      <c r="M47">
        <f t="shared" si="0"/>
        <v>738</v>
      </c>
      <c r="N47" t="str">
        <f t="shared" si="1"/>
        <v>PASS</v>
      </c>
    </row>
    <row r="48" spans="1:14" x14ac:dyDescent="0.25">
      <c r="A48" t="s">
        <v>57</v>
      </c>
      <c r="B48">
        <v>70</v>
      </c>
      <c r="C48">
        <v>60</v>
      </c>
      <c r="D48">
        <v>65</v>
      </c>
      <c r="E48">
        <v>66</v>
      </c>
      <c r="F48">
        <v>65</v>
      </c>
      <c r="G48">
        <v>76</v>
      </c>
      <c r="H48">
        <v>76</v>
      </c>
      <c r="I48">
        <v>56</v>
      </c>
      <c r="J48">
        <v>65</v>
      </c>
      <c r="K48">
        <v>76</v>
      </c>
      <c r="L48">
        <v>65</v>
      </c>
      <c r="M48">
        <f t="shared" si="0"/>
        <v>740</v>
      </c>
      <c r="N48" t="str">
        <f t="shared" si="1"/>
        <v>PASS</v>
      </c>
    </row>
    <row r="49" spans="1:14" x14ac:dyDescent="0.25">
      <c r="A49" t="s">
        <v>58</v>
      </c>
      <c r="B49">
        <v>60</v>
      </c>
      <c r="C49">
        <v>65</v>
      </c>
      <c r="D49">
        <v>76</v>
      </c>
      <c r="E49">
        <v>67</v>
      </c>
      <c r="F49">
        <v>79</v>
      </c>
      <c r="G49">
        <v>76</v>
      </c>
      <c r="H49">
        <v>75</v>
      </c>
      <c r="I49">
        <v>65</v>
      </c>
      <c r="J49">
        <v>66</v>
      </c>
      <c r="K49">
        <v>65</v>
      </c>
      <c r="L49">
        <v>64</v>
      </c>
      <c r="M49">
        <f t="shared" si="0"/>
        <v>758</v>
      </c>
      <c r="N49" t="str">
        <f t="shared" si="1"/>
        <v>PASS</v>
      </c>
    </row>
    <row r="50" spans="1:14" x14ac:dyDescent="0.25">
      <c r="A50" t="s">
        <v>59</v>
      </c>
      <c r="B50">
        <v>71</v>
      </c>
      <c r="C50">
        <v>65</v>
      </c>
      <c r="D50">
        <v>65</v>
      </c>
      <c r="E50">
        <v>67</v>
      </c>
      <c r="F50">
        <v>78</v>
      </c>
      <c r="G50">
        <v>65</v>
      </c>
      <c r="H50">
        <v>67</v>
      </c>
      <c r="I50">
        <v>76</v>
      </c>
      <c r="J50">
        <v>75</v>
      </c>
      <c r="K50">
        <v>76</v>
      </c>
      <c r="L50">
        <v>65</v>
      </c>
      <c r="M50">
        <f t="shared" si="0"/>
        <v>770</v>
      </c>
      <c r="N50" t="str">
        <f t="shared" si="1"/>
        <v>PASS</v>
      </c>
    </row>
    <row r="51" spans="1:14" x14ac:dyDescent="0.25">
      <c r="A51" t="s">
        <v>60</v>
      </c>
      <c r="B51">
        <v>75</v>
      </c>
      <c r="C51">
        <v>56</v>
      </c>
      <c r="D51">
        <v>76</v>
      </c>
      <c r="E51">
        <v>56</v>
      </c>
      <c r="F51">
        <v>55</v>
      </c>
      <c r="G51">
        <v>66</v>
      </c>
      <c r="H51">
        <v>64</v>
      </c>
      <c r="I51">
        <v>65</v>
      </c>
      <c r="J51">
        <v>68</v>
      </c>
      <c r="K51">
        <v>67</v>
      </c>
      <c r="L51">
        <v>60</v>
      </c>
      <c r="M51">
        <f t="shared" si="0"/>
        <v>708</v>
      </c>
      <c r="N51" t="str">
        <f t="shared" si="1"/>
        <v>PASS</v>
      </c>
    </row>
    <row r="53" spans="1:14" x14ac:dyDescent="0.25">
      <c r="A53" s="1" t="s">
        <v>61</v>
      </c>
      <c r="B53">
        <f>AVERAGE(B2:B51)</f>
        <v>67.7</v>
      </c>
      <c r="C53">
        <f t="shared" ref="C53:L53" si="2">AVERAGE(C2:C51)</f>
        <v>71.06</v>
      </c>
      <c r="D53">
        <f t="shared" si="2"/>
        <v>72.319999999999993</v>
      </c>
      <c r="E53">
        <f t="shared" si="2"/>
        <v>71.099999999999994</v>
      </c>
      <c r="F53">
        <f t="shared" si="2"/>
        <v>71.36</v>
      </c>
      <c r="G53">
        <f t="shared" si="2"/>
        <v>69.459999999999994</v>
      </c>
      <c r="H53">
        <f t="shared" si="2"/>
        <v>70.16</v>
      </c>
      <c r="I53">
        <f t="shared" si="2"/>
        <v>69.28</v>
      </c>
      <c r="J53">
        <f t="shared" si="2"/>
        <v>70.260000000000005</v>
      </c>
      <c r="K53">
        <f t="shared" si="2"/>
        <v>68.16</v>
      </c>
      <c r="L53">
        <f t="shared" si="2"/>
        <v>70.400000000000006</v>
      </c>
    </row>
    <row r="54" spans="1:14" x14ac:dyDescent="0.25">
      <c r="A54" s="1" t="s">
        <v>62</v>
      </c>
      <c r="B54">
        <f>MODE(B2:B51)</f>
        <v>78</v>
      </c>
      <c r="C54">
        <f t="shared" ref="C54:L54" si="3">MODE(C2:C51)</f>
        <v>65</v>
      </c>
      <c r="D54">
        <f t="shared" si="3"/>
        <v>76</v>
      </c>
      <c r="E54">
        <f t="shared" si="3"/>
        <v>76</v>
      </c>
      <c r="F54">
        <f t="shared" si="3"/>
        <v>78</v>
      </c>
      <c r="G54">
        <f t="shared" si="3"/>
        <v>76</v>
      </c>
      <c r="H54">
        <f t="shared" si="3"/>
        <v>67</v>
      </c>
      <c r="I54">
        <f t="shared" si="3"/>
        <v>65</v>
      </c>
      <c r="J54">
        <f t="shared" si="3"/>
        <v>76</v>
      </c>
      <c r="K54">
        <f t="shared" si="3"/>
        <v>65</v>
      </c>
      <c r="L54">
        <f t="shared" si="3"/>
        <v>67</v>
      </c>
    </row>
    <row r="55" spans="1:14" x14ac:dyDescent="0.25">
      <c r="A55" s="1" t="s">
        <v>63</v>
      </c>
      <c r="B55">
        <f>MAX(B2:B51)</f>
        <v>90</v>
      </c>
      <c r="C55">
        <f t="shared" ref="C55:L55" si="4">MAX(C2:C51)</f>
        <v>98</v>
      </c>
      <c r="D55">
        <f t="shared" si="4"/>
        <v>98</v>
      </c>
      <c r="E55">
        <f t="shared" si="4"/>
        <v>98</v>
      </c>
      <c r="F55">
        <f t="shared" si="4"/>
        <v>88</v>
      </c>
      <c r="G55">
        <f t="shared" si="4"/>
        <v>98</v>
      </c>
      <c r="H55">
        <f t="shared" si="4"/>
        <v>89</v>
      </c>
      <c r="I55">
        <f t="shared" si="4"/>
        <v>87</v>
      </c>
      <c r="J55">
        <f t="shared" si="4"/>
        <v>98</v>
      </c>
      <c r="K55">
        <f t="shared" si="4"/>
        <v>80</v>
      </c>
      <c r="L55">
        <f t="shared" si="4"/>
        <v>98</v>
      </c>
    </row>
    <row r="56" spans="1:14" x14ac:dyDescent="0.25">
      <c r="A56" s="1" t="s">
        <v>64</v>
      </c>
      <c r="B56">
        <f>MIN(B2:B51)</f>
        <v>34</v>
      </c>
      <c r="C56">
        <f t="shared" ref="C56:L56" si="5">MIN(C2:C51)</f>
        <v>40</v>
      </c>
      <c r="D56">
        <f t="shared" si="5"/>
        <v>29</v>
      </c>
      <c r="E56">
        <f t="shared" si="5"/>
        <v>43</v>
      </c>
      <c r="F56">
        <f t="shared" si="5"/>
        <v>50</v>
      </c>
      <c r="G56">
        <f t="shared" si="5"/>
        <v>39</v>
      </c>
      <c r="H56">
        <f t="shared" si="5"/>
        <v>54</v>
      </c>
      <c r="I56">
        <f t="shared" si="5"/>
        <v>53</v>
      </c>
      <c r="J56">
        <f t="shared" si="5"/>
        <v>40</v>
      </c>
      <c r="K56">
        <f t="shared" si="5"/>
        <v>32</v>
      </c>
      <c r="L56">
        <f t="shared" si="5"/>
        <v>33</v>
      </c>
    </row>
    <row r="57" spans="1:14" x14ac:dyDescent="0.25">
      <c r="A57" s="1" t="s">
        <v>65</v>
      </c>
      <c r="B57">
        <f>MEDIAN(B2:B51)</f>
        <v>67</v>
      </c>
      <c r="C57">
        <f t="shared" ref="C57:L57" si="6">MEDIAN(C2:C51)</f>
        <v>67.5</v>
      </c>
      <c r="D57">
        <f t="shared" si="6"/>
        <v>76</v>
      </c>
      <c r="E57">
        <f t="shared" si="6"/>
        <v>72</v>
      </c>
      <c r="F57">
        <f t="shared" si="6"/>
        <v>74.5</v>
      </c>
      <c r="G57">
        <f t="shared" si="6"/>
        <v>67.5</v>
      </c>
      <c r="H57">
        <f t="shared" si="6"/>
        <v>70</v>
      </c>
      <c r="I57">
        <f t="shared" si="6"/>
        <v>68.5</v>
      </c>
      <c r="J57">
        <f t="shared" si="6"/>
        <v>71</v>
      </c>
      <c r="K57">
        <f t="shared" si="6"/>
        <v>67</v>
      </c>
      <c r="L57">
        <f t="shared" si="6"/>
        <v>70</v>
      </c>
    </row>
    <row r="58" spans="1:14" x14ac:dyDescent="0.25">
      <c r="A58" s="1" t="s">
        <v>66</v>
      </c>
      <c r="B58">
        <f>SUM(B2:B51)</f>
        <v>3385</v>
      </c>
      <c r="C58">
        <f t="shared" ref="C58:L58" si="7">SUM(C2:C51)</f>
        <v>3553</v>
      </c>
      <c r="D58">
        <f t="shared" si="7"/>
        <v>3616</v>
      </c>
      <c r="E58">
        <f t="shared" si="7"/>
        <v>3555</v>
      </c>
      <c r="F58">
        <f t="shared" si="7"/>
        <v>3568</v>
      </c>
      <c r="G58">
        <f t="shared" si="7"/>
        <v>3473</v>
      </c>
      <c r="H58">
        <f t="shared" si="7"/>
        <v>3508</v>
      </c>
      <c r="I58">
        <f t="shared" si="7"/>
        <v>3464</v>
      </c>
      <c r="J58">
        <f t="shared" si="7"/>
        <v>3513</v>
      </c>
      <c r="K58">
        <f t="shared" si="7"/>
        <v>3408</v>
      </c>
      <c r="L58">
        <f t="shared" si="7"/>
        <v>3520</v>
      </c>
    </row>
    <row r="59" spans="1:14" x14ac:dyDescent="0.25">
      <c r="A59" s="1" t="s">
        <v>67</v>
      </c>
      <c r="B59">
        <f>SUMIF(B2:B51,"&gt;=60")</f>
        <v>2828</v>
      </c>
      <c r="C59">
        <f t="shared" ref="C59:L59" si="8">SUMIF(C2:C51,"&gt;=60")</f>
        <v>3233</v>
      </c>
      <c r="D59">
        <f t="shared" si="8"/>
        <v>3423</v>
      </c>
      <c r="E59">
        <f t="shared" si="8"/>
        <v>3252</v>
      </c>
      <c r="F59">
        <f t="shared" si="8"/>
        <v>3299</v>
      </c>
      <c r="G59">
        <f t="shared" si="8"/>
        <v>3192</v>
      </c>
      <c r="H59">
        <f t="shared" si="8"/>
        <v>3005</v>
      </c>
      <c r="I59">
        <f t="shared" si="8"/>
        <v>3078</v>
      </c>
      <c r="J59">
        <f t="shared" si="8"/>
        <v>3110</v>
      </c>
      <c r="K59">
        <f t="shared" si="8"/>
        <v>3005</v>
      </c>
      <c r="L59">
        <f t="shared" si="8"/>
        <v>3341</v>
      </c>
    </row>
    <row r="60" spans="1:14" x14ac:dyDescent="0.25">
      <c r="A60" s="1" t="s">
        <v>68</v>
      </c>
      <c r="B60">
        <f>ROUND(B53,1)</f>
        <v>67.7</v>
      </c>
      <c r="C60">
        <f t="shared" ref="C60:L60" si="9">ROUND(C53,1)</f>
        <v>71.099999999999994</v>
      </c>
      <c r="D60">
        <f t="shared" si="9"/>
        <v>72.3</v>
      </c>
      <c r="E60">
        <f t="shared" si="9"/>
        <v>71.099999999999994</v>
      </c>
      <c r="F60">
        <f t="shared" si="9"/>
        <v>71.400000000000006</v>
      </c>
      <c r="G60">
        <f t="shared" si="9"/>
        <v>69.5</v>
      </c>
      <c r="H60">
        <f t="shared" si="9"/>
        <v>70.2</v>
      </c>
      <c r="I60">
        <f t="shared" si="9"/>
        <v>69.3</v>
      </c>
      <c r="J60">
        <f t="shared" si="9"/>
        <v>70.3</v>
      </c>
      <c r="K60">
        <f t="shared" si="9"/>
        <v>68.2</v>
      </c>
      <c r="L60">
        <f t="shared" si="9"/>
        <v>70.400000000000006</v>
      </c>
    </row>
    <row r="61" spans="1:14" x14ac:dyDescent="0.25">
      <c r="A61" s="1" t="s">
        <v>69</v>
      </c>
      <c r="B61">
        <f>COUNT(B2:L51)</f>
        <v>550</v>
      </c>
    </row>
    <row r="62" spans="1:14" x14ac:dyDescent="0.25">
      <c r="A62" s="1" t="s">
        <v>70</v>
      </c>
      <c r="B62">
        <f>COUNTA(B2:L51)</f>
        <v>550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2026-10-22T10:32:57Z</dcterms:created>
  <dcterms:modified xsi:type="dcterms:W3CDTF">2026-10-22T12:25:57Z</dcterms:modified>
</cp:coreProperties>
</file>