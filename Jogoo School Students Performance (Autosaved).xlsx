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bookViews>
    <workbookView xWindow="0" yWindow="0" windowWidth="20490" windowHeight="7530" activeTab="1"/>
  </bookViews>
  <sheets>
    <sheet name="Sheet3" sheetId="3" r:id="rId1"/>
    <sheet name="Sheet 2" sheetId="4" r:id="rId2"/>
    <sheet name="Sheet1" sheetId="1" r:id="rId3"/>
  </sheets>
  <definedNames>
    <definedName name="_xlchart.0" hidden="1">Sheet1!$C$57:$M$57</definedName>
    <definedName name="_xlchart.1" hidden="1">Sheet1!$C$57:$M$57</definedName>
    <definedName name="_xlchart.2" hidden="1">Sheet1!$C$57:$M$57</definedName>
    <definedName name="_xlcn.WorksheetConnection_JogooSchoolStudentsPerformance.xlsxTable11" hidden="1">Table1[]</definedName>
  </definedNames>
  <calcPr calcId="162913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Jogoo School Students Performance.xlsx!Table1"/>
        </x15:modelTables>
      </x15:dataModel>
    </ext>
  </extLst>
</workbook>
</file>

<file path=xl/calcChain.xml><?xml version="1.0" encoding="utf-8"?>
<calcChain xmlns="http://schemas.openxmlformats.org/spreadsheetml/2006/main">
  <c r="L58" i="1" l="1"/>
  <c r="L56" i="1"/>
  <c r="L55" i="1"/>
  <c r="L54" i="1"/>
  <c r="L53" i="1"/>
  <c r="L57" i="1" s="1"/>
  <c r="E58" i="1"/>
  <c r="D58" i="1"/>
  <c r="C58" i="1"/>
  <c r="C56" i="1"/>
  <c r="C53" i="1"/>
  <c r="N52" i="1"/>
  <c r="O52" i="1"/>
  <c r="P52" i="1"/>
  <c r="Q52" i="1"/>
  <c r="R52" i="1"/>
  <c r="S52" i="1"/>
  <c r="M58" i="1"/>
  <c r="K58" i="1"/>
  <c r="J58" i="1"/>
  <c r="I58" i="1"/>
  <c r="H58" i="1"/>
  <c r="G58" i="1"/>
  <c r="F58" i="1"/>
  <c r="M56" i="1"/>
  <c r="K56" i="1"/>
  <c r="J56" i="1"/>
  <c r="I56" i="1"/>
  <c r="H56" i="1"/>
  <c r="G56" i="1"/>
  <c r="F56" i="1"/>
  <c r="E56" i="1"/>
  <c r="D56" i="1"/>
  <c r="M55" i="1"/>
  <c r="K55" i="1"/>
  <c r="J55" i="1"/>
  <c r="I55" i="1"/>
  <c r="H55" i="1"/>
  <c r="G55" i="1"/>
  <c r="F55" i="1"/>
  <c r="E55" i="1"/>
  <c r="D55" i="1"/>
  <c r="C55" i="1"/>
  <c r="M54" i="1"/>
  <c r="K54" i="1"/>
  <c r="J54" i="1"/>
  <c r="I54" i="1"/>
  <c r="H54" i="1"/>
  <c r="G54" i="1"/>
  <c r="F54" i="1"/>
  <c r="E54" i="1"/>
  <c r="D54" i="1"/>
  <c r="C54" i="1"/>
  <c r="M53" i="1"/>
  <c r="M57" i="1" s="1"/>
  <c r="K53" i="1"/>
  <c r="K57" i="1" s="1"/>
  <c r="J53" i="1"/>
  <c r="J57" i="1" s="1"/>
  <c r="I53" i="1"/>
  <c r="I57" i="1" s="1"/>
  <c r="H53" i="1"/>
  <c r="H57" i="1" s="1"/>
  <c r="G53" i="1"/>
  <c r="G57" i="1" s="1"/>
  <c r="F53" i="1"/>
  <c r="F57" i="1" s="1"/>
  <c r="E53" i="1"/>
  <c r="E57" i="1" s="1"/>
  <c r="D53" i="1"/>
  <c r="D57" i="1" s="1"/>
  <c r="C57" i="1"/>
  <c r="R51" i="1"/>
  <c r="Q51" i="1"/>
  <c r="P51" i="1"/>
  <c r="N51" i="1"/>
  <c r="S51" i="1" s="1"/>
  <c r="R50" i="1"/>
  <c r="Q50" i="1"/>
  <c r="P50" i="1"/>
  <c r="N50" i="1"/>
  <c r="S50" i="1" s="1"/>
  <c r="R49" i="1"/>
  <c r="Q49" i="1"/>
  <c r="P49" i="1"/>
  <c r="N49" i="1"/>
  <c r="S49" i="1" s="1"/>
  <c r="R48" i="1"/>
  <c r="Q48" i="1"/>
  <c r="P48" i="1"/>
  <c r="N48" i="1"/>
  <c r="S48" i="1" s="1"/>
  <c r="R47" i="1"/>
  <c r="Q47" i="1"/>
  <c r="P47" i="1"/>
  <c r="N47" i="1"/>
  <c r="S47" i="1" s="1"/>
  <c r="R46" i="1"/>
  <c r="Q46" i="1"/>
  <c r="P46" i="1"/>
  <c r="N46" i="1"/>
  <c r="S46" i="1" s="1"/>
  <c r="R45" i="1"/>
  <c r="Q45" i="1"/>
  <c r="P45" i="1"/>
  <c r="N45" i="1"/>
  <c r="S45" i="1" s="1"/>
  <c r="R44" i="1"/>
  <c r="Q44" i="1"/>
  <c r="P44" i="1"/>
  <c r="N44" i="1"/>
  <c r="S44" i="1" s="1"/>
  <c r="R43" i="1"/>
  <c r="Q43" i="1"/>
  <c r="P43" i="1"/>
  <c r="N43" i="1"/>
  <c r="S43" i="1" s="1"/>
  <c r="R42" i="1"/>
  <c r="Q42" i="1"/>
  <c r="P42" i="1"/>
  <c r="N42" i="1"/>
  <c r="S42" i="1" s="1"/>
  <c r="R41" i="1"/>
  <c r="Q41" i="1"/>
  <c r="P41" i="1"/>
  <c r="N41" i="1"/>
  <c r="S41" i="1" s="1"/>
  <c r="R40" i="1"/>
  <c r="Q40" i="1"/>
  <c r="P40" i="1"/>
  <c r="N40" i="1"/>
  <c r="S40" i="1" s="1"/>
  <c r="R39" i="1"/>
  <c r="Q39" i="1"/>
  <c r="P39" i="1"/>
  <c r="N39" i="1"/>
  <c r="S39" i="1" s="1"/>
  <c r="R38" i="1"/>
  <c r="Q38" i="1"/>
  <c r="P38" i="1"/>
  <c r="N38" i="1"/>
  <c r="S38" i="1" s="1"/>
  <c r="R37" i="1"/>
  <c r="Q37" i="1"/>
  <c r="P37" i="1"/>
  <c r="N37" i="1"/>
  <c r="S37" i="1" s="1"/>
  <c r="S36" i="1"/>
  <c r="R36" i="1"/>
  <c r="Q36" i="1"/>
  <c r="P36" i="1"/>
  <c r="O36" i="1"/>
  <c r="N36" i="1"/>
  <c r="R35" i="1"/>
  <c r="Q35" i="1"/>
  <c r="P35" i="1"/>
  <c r="N35" i="1"/>
  <c r="S35" i="1" s="1"/>
  <c r="R34" i="1"/>
  <c r="Q34" i="1"/>
  <c r="P34" i="1"/>
  <c r="N34" i="1"/>
  <c r="S34" i="1" s="1"/>
  <c r="R33" i="1"/>
  <c r="Q33" i="1"/>
  <c r="P33" i="1"/>
  <c r="N33" i="1"/>
  <c r="S33" i="1" s="1"/>
  <c r="R32" i="1"/>
  <c r="Q32" i="1"/>
  <c r="P32" i="1"/>
  <c r="N32" i="1"/>
  <c r="S32" i="1" s="1"/>
  <c r="R31" i="1"/>
  <c r="Q31" i="1"/>
  <c r="P31" i="1"/>
  <c r="N31" i="1"/>
  <c r="S31" i="1" s="1"/>
  <c r="R30" i="1"/>
  <c r="Q30" i="1"/>
  <c r="P30" i="1"/>
  <c r="N30" i="1"/>
  <c r="S30" i="1" s="1"/>
  <c r="R29" i="1"/>
  <c r="Q29" i="1"/>
  <c r="P29" i="1"/>
  <c r="N29" i="1"/>
  <c r="S29" i="1" s="1"/>
  <c r="R28" i="1"/>
  <c r="Q28" i="1"/>
  <c r="P28" i="1"/>
  <c r="N28" i="1"/>
  <c r="S28" i="1" s="1"/>
  <c r="R27" i="1"/>
  <c r="Q27" i="1"/>
  <c r="P27" i="1"/>
  <c r="N27" i="1"/>
  <c r="S27" i="1" s="1"/>
  <c r="R26" i="1"/>
  <c r="Q26" i="1"/>
  <c r="P26" i="1"/>
  <c r="N26" i="1"/>
  <c r="S26" i="1" s="1"/>
  <c r="R25" i="1"/>
  <c r="Q25" i="1"/>
  <c r="P25" i="1"/>
  <c r="N25" i="1"/>
  <c r="S25" i="1" s="1"/>
  <c r="R24" i="1"/>
  <c r="Q24" i="1"/>
  <c r="P24" i="1"/>
  <c r="N24" i="1"/>
  <c r="S24" i="1" s="1"/>
  <c r="R23" i="1"/>
  <c r="Q23" i="1"/>
  <c r="P23" i="1"/>
  <c r="N23" i="1"/>
  <c r="S23" i="1" s="1"/>
  <c r="R22" i="1"/>
  <c r="Q22" i="1"/>
  <c r="P22" i="1"/>
  <c r="N22" i="1"/>
  <c r="S22" i="1" s="1"/>
  <c r="R21" i="1"/>
  <c r="Q21" i="1"/>
  <c r="P21" i="1"/>
  <c r="N21" i="1"/>
  <c r="S21" i="1" s="1"/>
  <c r="R20" i="1"/>
  <c r="Q20" i="1"/>
  <c r="P20" i="1"/>
  <c r="N20" i="1"/>
  <c r="S20" i="1" s="1"/>
  <c r="R19" i="1"/>
  <c r="Q19" i="1"/>
  <c r="P19" i="1"/>
  <c r="N19" i="1"/>
  <c r="S19" i="1" s="1"/>
  <c r="R18" i="1"/>
  <c r="Q18" i="1"/>
  <c r="P18" i="1"/>
  <c r="N18" i="1"/>
  <c r="S18" i="1" s="1"/>
  <c r="R17" i="1"/>
  <c r="Q17" i="1"/>
  <c r="P17" i="1"/>
  <c r="N17" i="1"/>
  <c r="S17" i="1" s="1"/>
  <c r="R16" i="1"/>
  <c r="Q16" i="1"/>
  <c r="P16" i="1"/>
  <c r="N16" i="1"/>
  <c r="S16" i="1" s="1"/>
  <c r="R15" i="1"/>
  <c r="Q15" i="1"/>
  <c r="P15" i="1"/>
  <c r="N15" i="1"/>
  <c r="S15" i="1" s="1"/>
  <c r="R14" i="1"/>
  <c r="Q14" i="1"/>
  <c r="P14" i="1"/>
  <c r="N14" i="1"/>
  <c r="S14" i="1" s="1"/>
  <c r="R13" i="1"/>
  <c r="Q13" i="1"/>
  <c r="P13" i="1"/>
  <c r="N13" i="1"/>
  <c r="S13" i="1" s="1"/>
  <c r="R12" i="1"/>
  <c r="Q12" i="1"/>
  <c r="P12" i="1"/>
  <c r="N12" i="1"/>
  <c r="S12" i="1" s="1"/>
  <c r="R11" i="1"/>
  <c r="Q11" i="1"/>
  <c r="P11" i="1"/>
  <c r="N11" i="1"/>
  <c r="S11" i="1" s="1"/>
  <c r="R10" i="1"/>
  <c r="Q10" i="1"/>
  <c r="P10" i="1"/>
  <c r="N10" i="1"/>
  <c r="S10" i="1" s="1"/>
  <c r="R9" i="1"/>
  <c r="Q9" i="1"/>
  <c r="P9" i="1"/>
  <c r="N9" i="1"/>
  <c r="S9" i="1" s="1"/>
  <c r="R8" i="1"/>
  <c r="Q8" i="1"/>
  <c r="P8" i="1"/>
  <c r="N8" i="1"/>
  <c r="S8" i="1" s="1"/>
  <c r="R7" i="1"/>
  <c r="Q7" i="1"/>
  <c r="P7" i="1"/>
  <c r="N7" i="1"/>
  <c r="S7" i="1" s="1"/>
  <c r="R6" i="1"/>
  <c r="Q6" i="1"/>
  <c r="P6" i="1"/>
  <c r="N6" i="1"/>
  <c r="S6" i="1" s="1"/>
  <c r="R5" i="1"/>
  <c r="Q5" i="1"/>
  <c r="P5" i="1"/>
  <c r="N5" i="1"/>
  <c r="S5" i="1" s="1"/>
  <c r="R4" i="1"/>
  <c r="Q4" i="1"/>
  <c r="P4" i="1"/>
  <c r="N4" i="1"/>
  <c r="S4" i="1" s="1"/>
  <c r="R3" i="1"/>
  <c r="Q3" i="1"/>
  <c r="P3" i="1"/>
  <c r="N3" i="1"/>
  <c r="S3" i="1" s="1"/>
  <c r="R2" i="1"/>
  <c r="Q2" i="1"/>
  <c r="P2" i="1"/>
  <c r="N2" i="1"/>
  <c r="O2" i="1" s="1"/>
  <c r="O50" i="1" l="1"/>
  <c r="O48" i="1"/>
  <c r="O46" i="1"/>
  <c r="O44" i="1"/>
  <c r="O42" i="1"/>
  <c r="O40" i="1"/>
  <c r="O38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" i="1"/>
  <c r="S2" i="1"/>
  <c r="O3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O45" i="1"/>
  <c r="O47" i="1"/>
  <c r="O49" i="1"/>
  <c r="O51" i="1"/>
  <c r="C60" i="1" l="1"/>
  <c r="C61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Jogoo School Students Performance.xlsx!Table1" type="102" refreshedVersion="6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JogooSchoolStudentsPerformance.xlsxTable11"/>
        </x15:connection>
      </ext>
    </extLst>
  </connection>
</connections>
</file>

<file path=xl/sharedStrings.xml><?xml version="1.0" encoding="utf-8"?>
<sst xmlns="http://schemas.openxmlformats.org/spreadsheetml/2006/main" count="198" uniqueCount="121">
  <si>
    <t>FIRST NAME</t>
  </si>
  <si>
    <t>SECOND NAME</t>
  </si>
  <si>
    <t>MATHS</t>
  </si>
  <si>
    <t>ENGLISH</t>
  </si>
  <si>
    <t>KISWAHILI</t>
  </si>
  <si>
    <t>BIOLOGY</t>
  </si>
  <si>
    <t>CHEMISTRY</t>
  </si>
  <si>
    <t>PHYSICS</t>
  </si>
  <si>
    <t>AGRIC</t>
  </si>
  <si>
    <t>HISTORY</t>
  </si>
  <si>
    <t>COMPUTER</t>
  </si>
  <si>
    <t>GEOGRAPHY</t>
  </si>
  <si>
    <t>TOTAL</t>
  </si>
  <si>
    <t>MEAN</t>
  </si>
  <si>
    <t>MODE</t>
  </si>
  <si>
    <t>MAX</t>
  </si>
  <si>
    <t>MIN</t>
  </si>
  <si>
    <t>REMARKS</t>
  </si>
  <si>
    <t>Muchemi</t>
  </si>
  <si>
    <t>Christine</t>
  </si>
  <si>
    <t>Achieng</t>
  </si>
  <si>
    <t>Joseph</t>
  </si>
  <si>
    <t>Wafula</t>
  </si>
  <si>
    <t>Paul</t>
  </si>
  <si>
    <t>Odhiambo</t>
  </si>
  <si>
    <t>Margaret</t>
  </si>
  <si>
    <t>Akinyi</t>
  </si>
  <si>
    <t>Evaline</t>
  </si>
  <si>
    <t>Mwai</t>
  </si>
  <si>
    <t>Joy</t>
  </si>
  <si>
    <t>Mercy</t>
  </si>
  <si>
    <t>Gloria</t>
  </si>
  <si>
    <t>Mwende</t>
  </si>
  <si>
    <t>Wairimu</t>
  </si>
  <si>
    <t>Michael</t>
  </si>
  <si>
    <t>Wekesa</t>
  </si>
  <si>
    <t>Vallary</t>
  </si>
  <si>
    <t>Rosemary</t>
  </si>
  <si>
    <t>Moses</t>
  </si>
  <si>
    <t>Otieno</t>
  </si>
  <si>
    <t>Eli</t>
  </si>
  <si>
    <t>Omondi</t>
  </si>
  <si>
    <t>Lamora</t>
  </si>
  <si>
    <t>Latifa</t>
  </si>
  <si>
    <t>Brian</t>
  </si>
  <si>
    <t>Ochieng</t>
  </si>
  <si>
    <t>Caroline</t>
  </si>
  <si>
    <t>Atieno</t>
  </si>
  <si>
    <t>Gabriel</t>
  </si>
  <si>
    <t>Lecilia</t>
  </si>
  <si>
    <t>Alphonce</t>
  </si>
  <si>
    <t>Lameck</t>
  </si>
  <si>
    <t>Kiragu</t>
  </si>
  <si>
    <t>John</t>
  </si>
  <si>
    <t>Okinyi</t>
  </si>
  <si>
    <t>Adrian</t>
  </si>
  <si>
    <t>Juma</t>
  </si>
  <si>
    <t>Stacy</t>
  </si>
  <si>
    <t>Awuor</t>
  </si>
  <si>
    <t>Elsie</t>
  </si>
  <si>
    <t>Kosgei</t>
  </si>
  <si>
    <t>Millicent</t>
  </si>
  <si>
    <t>Jared</t>
  </si>
  <si>
    <t>Bravon</t>
  </si>
  <si>
    <t>Britney</t>
  </si>
  <si>
    <t>Brenda</t>
  </si>
  <si>
    <t>Walter</t>
  </si>
  <si>
    <t>Ambrose</t>
  </si>
  <si>
    <t>Catherine</t>
  </si>
  <si>
    <t>Lucille</t>
  </si>
  <si>
    <t>Alice</t>
  </si>
  <si>
    <t>Maria</t>
  </si>
  <si>
    <t>Emillio</t>
  </si>
  <si>
    <t>Florence</t>
  </si>
  <si>
    <t>Lily</t>
  </si>
  <si>
    <t>Olivia</t>
  </si>
  <si>
    <t>Samson</t>
  </si>
  <si>
    <t>Andrew</t>
  </si>
  <si>
    <t>Ouma</t>
  </si>
  <si>
    <t>Hannington</t>
  </si>
  <si>
    <t>Dei</t>
  </si>
  <si>
    <t>George</t>
  </si>
  <si>
    <t>Opiyo</t>
  </si>
  <si>
    <t>Emmanuel</t>
  </si>
  <si>
    <t>Caxton</t>
  </si>
  <si>
    <t>Gabriella</t>
  </si>
  <si>
    <t>Ivana</t>
  </si>
  <si>
    <t>Amelia</t>
  </si>
  <si>
    <t>Sophie</t>
  </si>
  <si>
    <t>Wanjiku</t>
  </si>
  <si>
    <t>Norbert</t>
  </si>
  <si>
    <t>Lucy</t>
  </si>
  <si>
    <t>Alban</t>
  </si>
  <si>
    <t>ROUND 1DP</t>
  </si>
  <si>
    <t>SUMIF</t>
  </si>
  <si>
    <t>COUNT</t>
  </si>
  <si>
    <t>COUNTA</t>
  </si>
  <si>
    <t>CRE</t>
  </si>
  <si>
    <t>Mary</t>
  </si>
  <si>
    <t>Row Labels</t>
  </si>
  <si>
    <t>(blank)</t>
  </si>
  <si>
    <t>Grand Total</t>
  </si>
  <si>
    <t>Sum of MATHS</t>
  </si>
  <si>
    <t>Sum of ENGLISH</t>
  </si>
  <si>
    <t>Sum of KISWAHILI</t>
  </si>
  <si>
    <t>Sum of BIOLOGY</t>
  </si>
  <si>
    <t>Sum of CHEMISTRY</t>
  </si>
  <si>
    <t>Sum of PHYSICS</t>
  </si>
  <si>
    <t>Sum of AGRIC</t>
  </si>
  <si>
    <t>Sum of HISTORY</t>
  </si>
  <si>
    <t>Sum of COMPUTER</t>
  </si>
  <si>
    <t>Sum of CRE</t>
  </si>
  <si>
    <t>Sum of GEOGRAPHY</t>
  </si>
  <si>
    <t>Sum of TOTAL</t>
  </si>
  <si>
    <t>Sum of MEAN</t>
  </si>
  <si>
    <t>The best performed subject is Kiswahili while the least performed subject is Mathematics</t>
  </si>
  <si>
    <t>The highest modal mark per subject is 80 while the least modal mark is 60</t>
  </si>
  <si>
    <t>The MAX contributed 35%,MODE 29%,MEAN 26% and MIN 10%</t>
  </si>
  <si>
    <t>There is correlation between mean and the total marks scored by students.</t>
  </si>
  <si>
    <t>We are able to compare the mean,mode,max and min across the subjects on the same chart.</t>
  </si>
  <si>
    <t>The best performed subject is subject 3 followed by 9,10,11,…in that order upto subject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</si>
</sst>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0" fillId="0" borderId="0" xfId="0" applyFont="1"/>
    <xf numFmtId="2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0" formatCode="General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Sheet1!$C$53:$M$53</c:f>
              <c:numCache>
                <c:formatCode>General</c:formatCode>
                <c:ptCount val="11"/>
                <c:pt idx="0">
                  <c:v>63.64</c:v>
                </c:pt>
                <c:pt idx="1">
                  <c:v>68.599999999999994</c:v>
                </c:pt>
                <c:pt idx="2">
                  <c:v>73.56</c:v>
                </c:pt>
                <c:pt idx="3">
                  <c:v>67.680000000000007</c:v>
                </c:pt>
                <c:pt idx="4">
                  <c:v>69.040000000000006</c:v>
                </c:pt>
                <c:pt idx="5">
                  <c:v>67.3</c:v>
                </c:pt>
                <c:pt idx="6">
                  <c:v>66.62</c:v>
                </c:pt>
                <c:pt idx="7">
                  <c:v>65.459999999999994</c:v>
                </c:pt>
                <c:pt idx="8">
                  <c:v>72.22</c:v>
                </c:pt>
                <c:pt idx="9">
                  <c:v>70.56</c:v>
                </c:pt>
                <c:pt idx="10">
                  <c:v>69.599999999999994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2-4CDF-B539-ECDB0579D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4148000"/>
        <c:axId val="494145088"/>
      </c:barChart>
      <c:catAx>
        <c:axId val="4941480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145088"/>
        <c:crosses val="autoZero"/>
        <c:auto val="1"/>
        <c:lblAlgn val="ctr"/>
        <c:lblOffset val="100"/>
        <c:noMultiLvlLbl val="0"/>
      </c:catAx>
      <c:valAx>
        <c:axId val="49414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414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Sheet1!$C$54:$M$54</c:f>
              <c:numCache>
                <c:formatCode>General</c:formatCode>
                <c:ptCount val="11"/>
                <c:pt idx="0">
                  <c:v>67</c:v>
                </c:pt>
                <c:pt idx="1">
                  <c:v>75</c:v>
                </c:pt>
                <c:pt idx="2">
                  <c:v>80</c:v>
                </c:pt>
                <c:pt idx="3">
                  <c:v>60</c:v>
                </c:pt>
                <c:pt idx="4">
                  <c:v>73</c:v>
                </c:pt>
                <c:pt idx="5">
                  <c:v>65</c:v>
                </c:pt>
                <c:pt idx="6">
                  <c:v>76</c:v>
                </c:pt>
                <c:pt idx="7">
                  <c:v>67</c:v>
                </c:pt>
                <c:pt idx="8">
                  <c:v>80</c:v>
                </c:pt>
                <c:pt idx="9">
                  <c:v>65</c:v>
                </c:pt>
                <c:pt idx="10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4D-4ADF-BBD3-9E9EF8BD7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7523120"/>
        <c:axId val="1667505232"/>
      </c:barChart>
      <c:catAx>
        <c:axId val="166752312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505232"/>
        <c:crosses val="autoZero"/>
        <c:auto val="1"/>
        <c:lblAlgn val="ctr"/>
        <c:lblOffset val="100"/>
        <c:noMultiLvlLbl val="0"/>
      </c:catAx>
      <c:valAx>
        <c:axId val="1667505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752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KISWAHILI(MEAN,MODE,MAX,MIN)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9F-4EF1-8D9C-27A2C0339C6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9F-4EF1-8D9C-27A2C0339C6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9F-4EF1-8D9C-27A2C0339C6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49F-4EF1-8D9C-27A2C0339C6A}"/>
              </c:ext>
            </c:extLst>
          </c:dPt>
          <c:val>
            <c:numRef>
              <c:f>Sheet1!$E$53:$E$56</c:f>
              <c:numCache>
                <c:formatCode>General</c:formatCode>
                <c:ptCount val="4"/>
                <c:pt idx="0">
                  <c:v>73.56</c:v>
                </c:pt>
                <c:pt idx="1">
                  <c:v>80</c:v>
                </c:pt>
                <c:pt idx="2">
                  <c:v>98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49F-4EF1-8D9C-27A2C0339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VS TOTAL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Sheet1!$N$2:$N$51</c:f>
              <c:numCache>
                <c:formatCode>General</c:formatCode>
                <c:ptCount val="50"/>
                <c:pt idx="0">
                  <c:v>780</c:v>
                </c:pt>
                <c:pt idx="1">
                  <c:v>723</c:v>
                </c:pt>
                <c:pt idx="2">
                  <c:v>703</c:v>
                </c:pt>
                <c:pt idx="3">
                  <c:v>775</c:v>
                </c:pt>
                <c:pt idx="4">
                  <c:v>749</c:v>
                </c:pt>
                <c:pt idx="5">
                  <c:v>704</c:v>
                </c:pt>
                <c:pt idx="6">
                  <c:v>861</c:v>
                </c:pt>
                <c:pt idx="7">
                  <c:v>736</c:v>
                </c:pt>
                <c:pt idx="8">
                  <c:v>720</c:v>
                </c:pt>
                <c:pt idx="9">
                  <c:v>792</c:v>
                </c:pt>
                <c:pt idx="10">
                  <c:v>717</c:v>
                </c:pt>
                <c:pt idx="11">
                  <c:v>786</c:v>
                </c:pt>
                <c:pt idx="12">
                  <c:v>789</c:v>
                </c:pt>
                <c:pt idx="13">
                  <c:v>799</c:v>
                </c:pt>
                <c:pt idx="14">
                  <c:v>791</c:v>
                </c:pt>
                <c:pt idx="15">
                  <c:v>821</c:v>
                </c:pt>
                <c:pt idx="16">
                  <c:v>686</c:v>
                </c:pt>
                <c:pt idx="17">
                  <c:v>754</c:v>
                </c:pt>
                <c:pt idx="18">
                  <c:v>764</c:v>
                </c:pt>
                <c:pt idx="19">
                  <c:v>798</c:v>
                </c:pt>
                <c:pt idx="20">
                  <c:v>848</c:v>
                </c:pt>
                <c:pt idx="21">
                  <c:v>811</c:v>
                </c:pt>
                <c:pt idx="22">
                  <c:v>770</c:v>
                </c:pt>
                <c:pt idx="23">
                  <c:v>708</c:v>
                </c:pt>
                <c:pt idx="24">
                  <c:v>694</c:v>
                </c:pt>
                <c:pt idx="25">
                  <c:v>760</c:v>
                </c:pt>
                <c:pt idx="26">
                  <c:v>845</c:v>
                </c:pt>
                <c:pt idx="27">
                  <c:v>791</c:v>
                </c:pt>
                <c:pt idx="28">
                  <c:v>783</c:v>
                </c:pt>
                <c:pt idx="29">
                  <c:v>801</c:v>
                </c:pt>
                <c:pt idx="30">
                  <c:v>774</c:v>
                </c:pt>
                <c:pt idx="31">
                  <c:v>755</c:v>
                </c:pt>
                <c:pt idx="32">
                  <c:v>731</c:v>
                </c:pt>
                <c:pt idx="33">
                  <c:v>708</c:v>
                </c:pt>
                <c:pt idx="34">
                  <c:v>760</c:v>
                </c:pt>
                <c:pt idx="35">
                  <c:v>777</c:v>
                </c:pt>
                <c:pt idx="36">
                  <c:v>758</c:v>
                </c:pt>
                <c:pt idx="37">
                  <c:v>774</c:v>
                </c:pt>
                <c:pt idx="38">
                  <c:v>686</c:v>
                </c:pt>
                <c:pt idx="39">
                  <c:v>669</c:v>
                </c:pt>
                <c:pt idx="40">
                  <c:v>697</c:v>
                </c:pt>
                <c:pt idx="41">
                  <c:v>656</c:v>
                </c:pt>
                <c:pt idx="42">
                  <c:v>753</c:v>
                </c:pt>
                <c:pt idx="43">
                  <c:v>792</c:v>
                </c:pt>
                <c:pt idx="44">
                  <c:v>669</c:v>
                </c:pt>
                <c:pt idx="45">
                  <c:v>716</c:v>
                </c:pt>
                <c:pt idx="46">
                  <c:v>738</c:v>
                </c:pt>
                <c:pt idx="47">
                  <c:v>724</c:v>
                </c:pt>
                <c:pt idx="48">
                  <c:v>768</c:v>
                </c:pt>
                <c:pt idx="49">
                  <c:v>750</c:v>
                </c:pt>
              </c:numCache>
            </c:numRef>
          </c:xVal>
          <c:yVal>
            <c:numRef>
              <c:f>Sheet1!$O$2:$O$51</c:f>
              <c:numCache>
                <c:formatCode>0.00</c:formatCode>
                <c:ptCount val="50"/>
                <c:pt idx="0">
                  <c:v>78</c:v>
                </c:pt>
                <c:pt idx="1">
                  <c:v>72.3</c:v>
                </c:pt>
                <c:pt idx="2">
                  <c:v>70.3</c:v>
                </c:pt>
                <c:pt idx="3">
                  <c:v>77.5</c:v>
                </c:pt>
                <c:pt idx="4">
                  <c:v>74.900000000000006</c:v>
                </c:pt>
                <c:pt idx="5">
                  <c:v>70.400000000000006</c:v>
                </c:pt>
                <c:pt idx="6">
                  <c:v>86.1</c:v>
                </c:pt>
                <c:pt idx="7">
                  <c:v>73.599999999999994</c:v>
                </c:pt>
                <c:pt idx="8">
                  <c:v>72</c:v>
                </c:pt>
                <c:pt idx="9">
                  <c:v>79.2</c:v>
                </c:pt>
                <c:pt idx="10">
                  <c:v>71.7</c:v>
                </c:pt>
                <c:pt idx="11">
                  <c:v>78.599999999999994</c:v>
                </c:pt>
                <c:pt idx="12">
                  <c:v>78.900000000000006</c:v>
                </c:pt>
                <c:pt idx="13">
                  <c:v>79.900000000000006</c:v>
                </c:pt>
                <c:pt idx="14">
                  <c:v>79.099999999999994</c:v>
                </c:pt>
                <c:pt idx="15">
                  <c:v>82.1</c:v>
                </c:pt>
                <c:pt idx="16">
                  <c:v>68.599999999999994</c:v>
                </c:pt>
                <c:pt idx="17">
                  <c:v>75.400000000000006</c:v>
                </c:pt>
                <c:pt idx="18">
                  <c:v>76.400000000000006</c:v>
                </c:pt>
                <c:pt idx="19">
                  <c:v>79.8</c:v>
                </c:pt>
                <c:pt idx="20">
                  <c:v>84.8</c:v>
                </c:pt>
                <c:pt idx="21">
                  <c:v>81.099999999999994</c:v>
                </c:pt>
                <c:pt idx="22">
                  <c:v>77</c:v>
                </c:pt>
                <c:pt idx="23">
                  <c:v>70.8</c:v>
                </c:pt>
                <c:pt idx="24">
                  <c:v>69.400000000000006</c:v>
                </c:pt>
                <c:pt idx="25">
                  <c:v>76</c:v>
                </c:pt>
                <c:pt idx="26">
                  <c:v>84.5</c:v>
                </c:pt>
                <c:pt idx="27">
                  <c:v>79.099999999999994</c:v>
                </c:pt>
                <c:pt idx="28">
                  <c:v>78.3</c:v>
                </c:pt>
                <c:pt idx="29">
                  <c:v>80.099999999999994</c:v>
                </c:pt>
                <c:pt idx="30">
                  <c:v>77.400000000000006</c:v>
                </c:pt>
                <c:pt idx="31">
                  <c:v>75.5</c:v>
                </c:pt>
                <c:pt idx="32">
                  <c:v>73.099999999999994</c:v>
                </c:pt>
                <c:pt idx="33">
                  <c:v>70.8</c:v>
                </c:pt>
                <c:pt idx="34">
                  <c:v>76</c:v>
                </c:pt>
                <c:pt idx="35">
                  <c:v>77.7</c:v>
                </c:pt>
                <c:pt idx="36">
                  <c:v>75.8</c:v>
                </c:pt>
                <c:pt idx="37">
                  <c:v>77.400000000000006</c:v>
                </c:pt>
                <c:pt idx="38">
                  <c:v>68.599999999999994</c:v>
                </c:pt>
                <c:pt idx="39">
                  <c:v>66.900000000000006</c:v>
                </c:pt>
                <c:pt idx="40">
                  <c:v>69.7</c:v>
                </c:pt>
                <c:pt idx="41">
                  <c:v>65.599999999999994</c:v>
                </c:pt>
                <c:pt idx="42">
                  <c:v>75.3</c:v>
                </c:pt>
                <c:pt idx="43">
                  <c:v>79.2</c:v>
                </c:pt>
                <c:pt idx="44">
                  <c:v>66.900000000000006</c:v>
                </c:pt>
                <c:pt idx="45">
                  <c:v>71.599999999999994</c:v>
                </c:pt>
                <c:pt idx="46">
                  <c:v>73.8</c:v>
                </c:pt>
                <c:pt idx="47">
                  <c:v>72.400000000000006</c:v>
                </c:pt>
                <c:pt idx="48">
                  <c:v>76.8</c:v>
                </c:pt>
                <c:pt idx="49">
                  <c:v>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3E-434A-A651-740877661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8173039"/>
        <c:axId val="618188015"/>
      </c:scatterChart>
      <c:valAx>
        <c:axId val="618173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88015"/>
        <c:crosses val="autoZero"/>
        <c:crossBetween val="midCat"/>
      </c:valAx>
      <c:valAx>
        <c:axId val="61818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7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MEAN,MODE,MAX,MIN PER SUBJECT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Sheet1!$C$53:$M$53</c:f>
              <c:numCache>
                <c:formatCode>General</c:formatCode>
                <c:ptCount val="11"/>
                <c:pt idx="0">
                  <c:v>63.64</c:v>
                </c:pt>
                <c:pt idx="1">
                  <c:v>68.599999999999994</c:v>
                </c:pt>
                <c:pt idx="2">
                  <c:v>73.56</c:v>
                </c:pt>
                <c:pt idx="3">
                  <c:v>67.680000000000007</c:v>
                </c:pt>
                <c:pt idx="4">
                  <c:v>69.040000000000006</c:v>
                </c:pt>
                <c:pt idx="5">
                  <c:v>67.3</c:v>
                </c:pt>
                <c:pt idx="6">
                  <c:v>66.62</c:v>
                </c:pt>
                <c:pt idx="7">
                  <c:v>65.459999999999994</c:v>
                </c:pt>
                <c:pt idx="8">
                  <c:v>72.22</c:v>
                </c:pt>
                <c:pt idx="9">
                  <c:v>70.56</c:v>
                </c:pt>
                <c:pt idx="10">
                  <c:v>69.599999999999994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5-4F6D-91FD-B36772B1E40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Sheet1!$C$54:$M$54</c:f>
              <c:numCache>
                <c:formatCode>General</c:formatCode>
                <c:ptCount val="11"/>
                <c:pt idx="0">
                  <c:v>67</c:v>
                </c:pt>
                <c:pt idx="1">
                  <c:v>75</c:v>
                </c:pt>
                <c:pt idx="2">
                  <c:v>80</c:v>
                </c:pt>
                <c:pt idx="3">
                  <c:v>60</c:v>
                </c:pt>
                <c:pt idx="4">
                  <c:v>73</c:v>
                </c:pt>
                <c:pt idx="5">
                  <c:v>65</c:v>
                </c:pt>
                <c:pt idx="6">
                  <c:v>76</c:v>
                </c:pt>
                <c:pt idx="7">
                  <c:v>67</c:v>
                </c:pt>
                <c:pt idx="8">
                  <c:v>80</c:v>
                </c:pt>
                <c:pt idx="9">
                  <c:v>65</c:v>
                </c:pt>
                <c:pt idx="10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5-4F6D-91FD-B36772B1E405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Sheet1!$C$55:$M$55</c:f>
              <c:numCache>
                <c:formatCode>General</c:formatCode>
                <c:ptCount val="11"/>
                <c:pt idx="0">
                  <c:v>90</c:v>
                </c:pt>
                <c:pt idx="1">
                  <c:v>87</c:v>
                </c:pt>
                <c:pt idx="2">
                  <c:v>98</c:v>
                </c:pt>
                <c:pt idx="3">
                  <c:v>98</c:v>
                </c:pt>
                <c:pt idx="4">
                  <c:v>98</c:v>
                </c:pt>
                <c:pt idx="5">
                  <c:v>90</c:v>
                </c:pt>
                <c:pt idx="6">
                  <c:v>98</c:v>
                </c:pt>
                <c:pt idx="7">
                  <c:v>90</c:v>
                </c:pt>
                <c:pt idx="8">
                  <c:v>98</c:v>
                </c:pt>
                <c:pt idx="9">
                  <c:v>98</c:v>
                </c:pt>
                <c:pt idx="10" formatCode="0.00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15-4F6D-91FD-B36772B1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7719791"/>
        <c:axId val="1467698575"/>
      </c:barChart>
      <c:lineChart>
        <c:grouping val="standard"/>
        <c:varyColors val="0"/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Sheet1!$C$56:$M$56</c:f>
              <c:numCache>
                <c:formatCode>General</c:formatCode>
                <c:ptCount val="11"/>
                <c:pt idx="0">
                  <c:v>37</c:v>
                </c:pt>
                <c:pt idx="1">
                  <c:v>25</c:v>
                </c:pt>
                <c:pt idx="2">
                  <c:v>28</c:v>
                </c:pt>
                <c:pt idx="3">
                  <c:v>28</c:v>
                </c:pt>
                <c:pt idx="4">
                  <c:v>39</c:v>
                </c:pt>
                <c:pt idx="5">
                  <c:v>34</c:v>
                </c:pt>
                <c:pt idx="6">
                  <c:v>30</c:v>
                </c:pt>
                <c:pt idx="7">
                  <c:v>35</c:v>
                </c:pt>
                <c:pt idx="8">
                  <c:v>39</c:v>
                </c:pt>
                <c:pt idx="9">
                  <c:v>47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15-4F6D-91FD-B36772B1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7719791"/>
        <c:axId val="1467698575"/>
      </c:lineChart>
      <c:catAx>
        <c:axId val="146771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698575"/>
        <c:crosses val="autoZero"/>
        <c:auto val="1"/>
        <c:lblAlgn val="ctr"/>
        <c:lblOffset val="100"/>
        <c:noMultiLvlLbl val="0"/>
      </c:catAx>
      <c:valAx>
        <c:axId val="146769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719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size">
        <cx:f dir="row">_xlchart.0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en-US"/>
              <a:t>MEAN PER SUBJECT</a:t>
            </a:r>
          </a:p>
        </cx:rich>
      </cx:tx>
    </cx:title>
    <cx:plotArea>
      <cx:plotAreaRegion>
        <cx:series layoutId="treemap" uniqueId="{0D51DAB4-5051-489B-AB70-DFF0BDEFA4E9}"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bg1"/>
    </cs:fontRef>
    <cs:defRPr sz="900" kern="1200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0</xdr:row>
      <xdr:rowOff>19050</xdr:rowOff>
    </xdr:from>
    <xdr:to>
      <xdr:col>17</xdr:col>
      <xdr:colOff>304800</xdr:colOff>
      <xdr:row>14</xdr:row>
      <xdr:rowOff>95250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16</xdr:row>
      <xdr:rowOff>180975</xdr:rowOff>
    </xdr:from>
    <xdr:to>
      <xdr:col>7</xdr:col>
      <xdr:colOff>304800</xdr:colOff>
      <xdr:row>31</xdr:row>
      <xdr:rowOff>66675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581025</xdr:colOff>
      <xdr:row>17</xdr:row>
      <xdr:rowOff>0</xdr:rowOff>
    </xdr:from>
    <xdr:to>
      <xdr:col>17</xdr:col>
      <xdr:colOff>276225</xdr:colOff>
      <xdr:row>31</xdr:row>
      <xdr:rowOff>76200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34</xdr:row>
      <xdr:rowOff>180975</xdr:rowOff>
    </xdr:from>
    <xdr:to>
      <xdr:col>7</xdr:col>
      <xdr:colOff>304800</xdr:colOff>
      <xdr:row>49</xdr:row>
      <xdr:rowOff>66675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600075</xdr:colOff>
      <xdr:row>34</xdr:row>
      <xdr:rowOff>180975</xdr:rowOff>
    </xdr:from>
    <xdr:to>
      <xdr:col>17</xdr:col>
      <xdr:colOff>295275</xdr:colOff>
      <xdr:row>49</xdr:row>
      <xdr:rowOff>66675</xdr:rowOff>
    </xdr:to>
    <mc:AlternateContent xmlns:mc="http://schemas.openxmlformats.org/markup-compatibility/2006">
      <mc:Choice xmlns:cx="http://schemas.microsoft.com/office/drawing/2014/chartex" Requires="cx">
        <xdr:graphicFrame macro="">
          <xdr:nvGraphicFramePr>
            <xdr:cNvPr id="7" name="Chart 6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:chart xmlns:c="http://schemas.openxmlformats.org/drawingml/2006/chart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USER" refreshedDate="46317.341371759256" backgroundQuery="1" createdVersion="6" refreshedVersion="6" minRefreshableVersion="3" recordCount="0" supportSubquery="1" supportAdvancedDrill="1">
  <cacheSource type="external" connectionId="1"/>
  <cacheFields count="14">
    <cacheField name="[Measures].[Sum of MATHS]" caption="Sum of MATHS" numFmtId="0" hierarchy="21" level="32767"/>
    <cacheField name="[Measures].[Sum of ENGLISH]" caption="Sum of ENGLISH" numFmtId="0" hierarchy="22" level="32767"/>
    <cacheField name="[Table1].[FIRST NAME].[FIRST NAME]" caption="FIRST NAME" numFmtId="0" level="1">
      <sharedItems containsBlank="1" count="50">
        <m/>
        <s v="Adrian"/>
        <s v="Alban"/>
        <s v="Alice"/>
        <s v="Alphonce"/>
        <s v="Ambrose"/>
        <s v="Andrew"/>
        <s v="Bravon"/>
        <s v="Brian"/>
        <s v="Britney"/>
        <s v="Caroline"/>
        <s v="Catherine"/>
        <s v="Christine"/>
        <s v="Eli"/>
        <s v="Elsie"/>
        <s v="Emillio"/>
        <s v="Emmanuel"/>
        <s v="Evaline"/>
        <s v="Florence"/>
        <s v="Gabriel"/>
        <s v="Gabriella"/>
        <s v="George"/>
        <s v="Gloria"/>
        <s v="Hannington"/>
        <s v="Ivana"/>
        <s v="Jared"/>
        <s v="John"/>
        <s v="Joseph"/>
        <s v="Joy"/>
        <s v="Lameck"/>
        <s v="Lamora"/>
        <s v="Lecilia"/>
        <s v="Lucille"/>
        <s v="Lucy"/>
        <s v="Margaret"/>
        <s v="Maria"/>
        <s v="Mary"/>
        <s v="Mercy"/>
        <s v="Michael"/>
        <s v="Millicent"/>
        <s v="Moses"/>
        <s v="Norbert"/>
        <s v="Olivia"/>
        <s v="Paul"/>
        <s v="Rosemary"/>
        <s v="Samson"/>
        <s v="Sophie"/>
        <s v="Stacy"/>
        <s v="Vallary"/>
        <s v="Walter"/>
      </sharedItems>
    </cacheField>
    <cacheField name="[Measures].[Sum of KISWAHILI]" caption="Sum of KISWAHILI" numFmtId="0" hierarchy="23" level="32767"/>
    <cacheField name="[Measures].[Sum of BIOLOGY]" caption="Sum of BIOLOGY" numFmtId="0" hierarchy="24" level="32767"/>
    <cacheField name="[Measures].[Sum of CHEMISTRY]" caption="Sum of CHEMISTRY" numFmtId="0" hierarchy="25" level="32767"/>
    <cacheField name="[Measures].[Sum of PHYSICS]" caption="Sum of PHYSICS" numFmtId="0" hierarchy="26" level="32767"/>
    <cacheField name="[Measures].[Sum of AGRIC]" caption="Sum of AGRIC" numFmtId="0" hierarchy="27" level="32767"/>
    <cacheField name="[Measures].[Sum of HISTORY]" caption="Sum of HISTORY" numFmtId="0" hierarchy="28" level="32767"/>
    <cacheField name="[Measures].[Sum of COMPUTER]" caption="Sum of COMPUTER" numFmtId="0" hierarchy="29" level="32767"/>
    <cacheField name="[Measures].[Sum of CRE]" caption="Sum of CRE" numFmtId="0" hierarchy="30" level="32767"/>
    <cacheField name="[Measures].[Sum of GEOGRAPHY]" caption="Sum of GEOGRAPHY" numFmtId="0" hierarchy="31" level="32767"/>
    <cacheField name="[Measures].[Sum of TOTAL]" caption="Sum of TOTAL" numFmtId="0" hierarchy="32" level="32767"/>
    <cacheField name="[Measures].[Sum of MEAN]" caption="Sum of MEAN" numFmtId="0" hierarchy="33" level="32767"/>
  </cacheFields>
  <cacheHierarchies count="34">
    <cacheHierarchy uniqueName="[Table1].[FIRST NAME]" caption="FIRST NAME" attribute="1" defaultMemberUniqueName="[Table1].[FIRST NAME].[All]" allUniqueName="[Table1].[FIRST NAME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SECOND NAME]" caption="SECOND NAME" attribute="1" defaultMemberUniqueName="[Table1].[SECOND NAME].[All]" allUniqueName="[Table1].[SECOND NAME].[All]" dimensionUniqueName="[Table1]" displayFolder="" count="0" memberValueDatatype="130" unbalanced="0"/>
    <cacheHierarchy uniqueName="[Table1].[MATHS]" caption="MATHS" attribute="1" defaultMemberUniqueName="[Table1].[MATHS].[All]" allUniqueName="[Table1].[MATHS].[All]" dimensionUniqueName="[Table1]" displayFolder="" count="0" memberValueDatatype="20" unbalanced="0"/>
    <cacheHierarchy uniqueName="[Table1].[ENGLISH]" caption="ENGLISH" attribute="1" defaultMemberUniqueName="[Table1].[ENGLISH].[All]" allUniqueName="[Table1].[ENGLISH].[All]" dimensionUniqueName="[Table1]" displayFolder="" count="0" memberValueDatatype="20" unbalanced="0"/>
    <cacheHierarchy uniqueName="[Table1].[KISWAHILI]" caption="KISWAHILI" attribute="1" defaultMemberUniqueName="[Table1].[KISWAHILI].[All]" allUniqueName="[Table1].[KISWAHILI].[All]" dimensionUniqueName="[Table1]" displayFolder="" count="0" memberValueDatatype="20" unbalanced="0"/>
    <cacheHierarchy uniqueName="[Table1].[BIOLOGY]" caption="BIOLOGY" attribute="1" defaultMemberUniqueName="[Table1].[BIOLOGY].[All]" allUniqueName="[Table1].[BIOLOGY].[All]" dimensionUniqueName="[Table1]" displayFolder="" count="0" memberValueDatatype="20" unbalanced="0"/>
    <cacheHierarchy uniqueName="[Table1].[CHEMISTRY]" caption="CHEMISTRY" attribute="1" defaultMemberUniqueName="[Table1].[CHEMISTRY].[All]" allUniqueName="[Table1].[CHEMISTRY].[All]" dimensionUniqueName="[Table1]" displayFolder="" count="0" memberValueDatatype="20" unbalanced="0"/>
    <cacheHierarchy uniqueName="[Table1].[PHYSICS]" caption="PHYSICS" attribute="1" defaultMemberUniqueName="[Table1].[PHYSICS].[All]" allUniqueName="[Table1].[PHYSICS].[All]" dimensionUniqueName="[Table1]" displayFolder="" count="0" memberValueDatatype="20" unbalanced="0"/>
    <cacheHierarchy uniqueName="[Table1].[AGRIC]" caption="AGRIC" attribute="1" defaultMemberUniqueName="[Table1].[AGRIC].[All]" allUniqueName="[Table1].[AGRIC].[All]" dimensionUniqueName="[Table1]" displayFolder="" count="0" memberValueDatatype="20" unbalanced="0"/>
    <cacheHierarchy uniqueName="[Table1].[HISTORY]" caption="HISTORY" attribute="1" defaultMemberUniqueName="[Table1].[HISTORY].[All]" allUniqueName="[Table1].[HISTORY].[All]" dimensionUniqueName="[Table1]" displayFolder="" count="0" memberValueDatatype="20" unbalanced="0"/>
    <cacheHierarchy uniqueName="[Table1].[COMPUTER]" caption="COMPUTER" attribute="1" defaultMemberUniqueName="[Table1].[COMPUTER].[All]" allUniqueName="[Table1].[COMPUTER].[All]" dimensionUniqueName="[Table1]" displayFolder="" count="0" memberValueDatatype="20" unbalanced="0"/>
    <cacheHierarchy uniqueName="[Table1].[CRE]" caption="CRE" attribute="1" defaultMemberUniqueName="[Table1].[CRE].[All]" allUniqueName="[Table1].[CRE].[All]" dimensionUniqueName="[Table1]" displayFolder="" count="0" memberValueDatatype="20" unbalanced="0"/>
    <cacheHierarchy uniqueName="[Table1].[GEOGRAPHY]" caption="GEOGRAPHY" attribute="1" defaultMemberUniqueName="[Table1].[GEOGRAPHY].[All]" allUniqueName="[Table1].[GEOGRAPHY].[All]" dimensionUniqueName="[Table1]" displayFolder="" count="0" memberValueDatatype="20" unbalanced="0"/>
    <cacheHierarchy uniqueName="[Table1].[TOTAL]" caption="TOTAL" attribute="1" defaultMemberUniqueName="[Table1].[TOTAL].[All]" allUniqueName="[Table1].[TOTAL].[All]" dimensionUniqueName="[Table1]" displayFolder="" count="0" memberValueDatatype="20" unbalanced="0"/>
    <cacheHierarchy uniqueName="[Table1].[MEAN]" caption="MEAN" attribute="1" defaultMemberUniqueName="[Table1].[MEAN].[All]" allUniqueName="[Table1].[MEAN].[All]" dimensionUniqueName="[Table1]" displayFolder="" count="2" memberValueDatatype="5" unbalanced="0"/>
    <cacheHierarchy uniqueName="[Table1].[MODE]" caption="MODE" attribute="1" defaultMemberUniqueName="[Table1].[MODE].[All]" allUniqueName="[Table1].[MODE].[All]" dimensionUniqueName="[Table1]" displayFolder="" count="0" memberValueDatatype="130" unbalanced="0"/>
    <cacheHierarchy uniqueName="[Table1].[MAX]" caption="MAX" attribute="1" defaultMemberUniqueName="[Table1].[MAX].[All]" allUniqueName="[Table1].[MAX].[All]" dimensionUniqueName="[Table1]" displayFolder="" count="0" memberValueDatatype="20" unbalanced="0"/>
    <cacheHierarchy uniqueName="[Table1].[MIN]" caption="MIN" attribute="1" defaultMemberUniqueName="[Table1].[MIN].[All]" allUniqueName="[Table1].[MIN].[All]" dimensionUniqueName="[Table1]" displayFolder="" count="0" memberValueDatatype="20" unbalanced="0"/>
    <cacheHierarchy uniqueName="[Table1].[REMARKS]" caption="REMARKS" attribute="1" defaultMemberUniqueName="[Table1].[REMARKS].[All]" allUniqueName="[Table1].[REMARKS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MATHS]" caption="Sum of MATHS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ENGLISH]" caption="Sum of ENGLISH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KISWAHILI]" caption="Sum of KISWAHILI" measure="1" displayFolder="" measureGroup="Table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BIOLOGY]" caption="Sum of BIOLOGY" measure="1" displayFolder="" measureGroup="Tabl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CHEMISTRY]" caption="Sum of CHEMISTRY" measure="1" displayFolder="" measureGroup="Table1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PHYSICS]" caption="Sum of PHYSICS" measure="1" displayFolder="" measureGroup="Table1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AGRIC]" caption="Sum of AGRIC" measure="1" displayFolder="" measureGroup="Table1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ISTORY]" caption="Sum of HISTORY" measure="1" displayFolder="" measureGroup="Table1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OMPUTER]" caption="Sum of COMPUTER" measure="1" displayFolder="" measureGroup="Table1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CRE]" caption="Sum of CRE" measure="1" displayFolder="" measureGroup="Table1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GEOGRAPHY]" caption="Sum of GEOGRAPHY" measure="1" displayFolder="" measureGroup="Table1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TOTAL]" caption="Sum of TOTAL" measure="1" displayFolder="" measureGroup="Table1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MEAN]" caption="Sum of MEAN" measure="1" displayFolder="" measureGroup="Table1" count="0" oneField="1" hidden="1">
      <fieldsUsage count="1">
        <fieldUsage x="1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subtotalHiddenItems="1" itemPrintTitles="1" createdVersion="6" indent="0" outline="1" outlineData="1" multipleFieldFilters="0">
  <location ref="A3:N54" firstHeaderRow="0" firstDataRow="1" firstDataCol="1"/>
  <pivotFields count="14">
    <pivotField dataField="1" showAll="0"/>
    <pivotField dataField="1" showAll="0"/>
    <pivotField axis="axisRow" allDrilled="1" showAll="0" dataSourceSort="1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Sum of MATHS" fld="0" baseField="0" baseItem="0"/>
    <dataField name="Sum of ENGLISH" fld="1" baseField="0" baseItem="0"/>
    <dataField name="Sum of KISWAHILI" fld="3" baseField="0" baseItem="0"/>
    <dataField name="Sum of BIOLOGY" fld="4" baseField="0" baseItem="0"/>
    <dataField name="Sum of CHEMISTRY" fld="5" baseField="0" baseItem="0"/>
    <dataField name="Sum of PHYSICS" fld="6" baseField="0" baseItem="0"/>
    <dataField name="Sum of AGRIC" fld="7" baseField="0" baseItem="0"/>
    <dataField name="Sum of HISTORY" fld="8" baseField="0" baseItem="0"/>
    <dataField name="Sum of COMPUTER" fld="9" baseField="0" baseItem="0"/>
    <dataField name="Sum of CRE" fld="10" baseField="0" baseItem="0"/>
    <dataField name="Sum of GEOGRAPHY" fld="11" baseField="0" baseItem="0"/>
    <dataField name="Sum of TOTAL" fld="12" baseField="0" baseItem="0"/>
    <dataField name="Sum of MEAN" fld="13" baseField="0" baseItem="0"/>
  </dataFields>
  <pivotHierarchies count="3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Jogoo School Students Performance.xlsx!Table1">
        <x15:activeTabTopLevelEntity name="[Table1]"/>
      </x15:pivotTableUISettings>
    </ext>
  </extLst>
</pivotTableDefinition>
</file>

<file path=xl/tables/table1.xml><?xml version="1.0" encoding="utf-8"?>
<table xmlns="http://schemas.openxmlformats.org/spreadsheetml/2006/main" id="1" name="Table1" displayName="Table1" ref="A1:S52" totalsRowShown="0" headerRowDxfId="2">
  <autoFilter ref="A1:S52"/>
  <tableColumns count="19">
    <tableColumn id="1" name="FIRST NAME"/>
    <tableColumn id="2" name="SECOND NAME"/>
    <tableColumn id="3" name="MATHS"/>
    <tableColumn id="4" name="ENGLISH"/>
    <tableColumn id="5" name="KISWAHILI"/>
    <tableColumn id="6" name="BIOLOGY"/>
    <tableColumn id="7" name="CHEMISTRY"/>
    <tableColumn id="8" name="PHYSICS"/>
    <tableColumn id="9" name="AGRIC"/>
    <tableColumn id="10" name="HISTORY"/>
    <tableColumn id="11" name="COMPUTER"/>
    <tableColumn id="19" name="CRE"/>
    <tableColumn id="12" name="GEOGRAPHY"/>
    <tableColumn id="13" name="TOTAL">
      <calculatedColumnFormula>SUM(C2:M2)</calculatedColumnFormula>
    </tableColumn>
    <tableColumn id="14" name="MEAN" dataDxfId="1">
      <calculatedColumnFormula>AVERAGE(N2/10)</calculatedColumnFormula>
    </tableColumn>
    <tableColumn id="15" name="MODE">
      <calculatedColumnFormula>MODE(C2:M2)</calculatedColumnFormula>
    </tableColumn>
    <tableColumn id="16" name="MAX">
      <calculatedColumnFormula>MAX(C2:M2)</calculatedColumnFormula>
    </tableColumn>
    <tableColumn id="17" name="MIN">
      <calculatedColumnFormula>MIN(C2:M2)</calculatedColumnFormula>
    </tableColumn>
    <tableColumn id="18" name="REMARKS" dataDxfId="0">
      <calculatedColumnFormula>IF(N2&gt;=650,"PASS","FAIL")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54"/>
  <sheetViews>
    <sheetView topLeftCell="A9" workbookViewId="0"/>
  </sheetViews>
  <sheetFormatPr defaultRowHeight="15" x14ac:dyDescent="0.25"/>
  <cols>
    <col min="1" max="1" width="13.140625" customWidth="1"/>
    <col min="2" max="2" width="14.140625" customWidth="1"/>
    <col min="3" max="3" width="15.28515625" bestFit="1" customWidth="1"/>
    <col min="4" max="4" width="17" bestFit="1" customWidth="1"/>
    <col min="5" max="5" width="15.7109375" bestFit="1" customWidth="1"/>
    <col min="6" max="6" width="18" bestFit="1" customWidth="1"/>
    <col min="7" max="7" width="15" bestFit="1" customWidth="1"/>
    <col min="8" max="8" width="13.28515625" bestFit="1" customWidth="1"/>
    <col min="9" max="9" width="15.28515625" bestFit="1" customWidth="1"/>
    <col min="10" max="10" width="18" bestFit="1" customWidth="1"/>
    <col min="11" max="11" width="10.85546875" bestFit="1" customWidth="1"/>
    <col min="12" max="12" width="19.140625" bestFit="1" customWidth="1"/>
    <col min="13" max="14" width="13.28515625" bestFit="1" customWidth="1"/>
  </cols>
  <sheetData>
    <row r="3" spans="1:14" x14ac:dyDescent="0.25">
      <c r="A3" s="6" t="s">
        <v>99</v>
      </c>
      <c r="B3" t="s">
        <v>102</v>
      </c>
      <c r="C3" t="s">
        <v>103</v>
      </c>
      <c r="D3" t="s">
        <v>104</v>
      </c>
      <c r="E3" t="s">
        <v>105</v>
      </c>
      <c r="F3" t="s">
        <v>106</v>
      </c>
      <c r="G3" t="s">
        <v>107</v>
      </c>
      <c r="H3" t="s">
        <v>108</v>
      </c>
      <c r="I3" t="s">
        <v>109</v>
      </c>
      <c r="J3" t="s">
        <v>110</v>
      </c>
      <c r="K3" t="s">
        <v>111</v>
      </c>
      <c r="L3" t="s">
        <v>112</v>
      </c>
      <c r="M3" t="s">
        <v>113</v>
      </c>
      <c r="N3" t="s">
        <v>114</v>
      </c>
    </row>
    <row r="4" spans="1:14" x14ac:dyDescent="0.25">
      <c r="A4" s="7" t="s">
        <v>100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>
        <v>0</v>
      </c>
      <c r="N4" s="5">
        <v>0</v>
      </c>
    </row>
    <row r="5" spans="1:14" x14ac:dyDescent="0.25">
      <c r="A5" s="7" t="s">
        <v>55</v>
      </c>
      <c r="B5" s="5">
        <v>80</v>
      </c>
      <c r="C5" s="5">
        <v>67</v>
      </c>
      <c r="D5" s="5">
        <v>65</v>
      </c>
      <c r="E5" s="5">
        <v>65</v>
      </c>
      <c r="F5" s="5">
        <v>66</v>
      </c>
      <c r="G5" s="5">
        <v>60</v>
      </c>
      <c r="H5" s="5">
        <v>79</v>
      </c>
      <c r="I5" s="5">
        <v>75</v>
      </c>
      <c r="J5" s="5">
        <v>45</v>
      </c>
      <c r="K5" s="5">
        <v>67</v>
      </c>
      <c r="L5" s="5">
        <v>39</v>
      </c>
      <c r="M5" s="5">
        <v>708</v>
      </c>
      <c r="N5" s="5">
        <v>70.8</v>
      </c>
    </row>
    <row r="6" spans="1:14" x14ac:dyDescent="0.25">
      <c r="A6" s="7" t="s">
        <v>92</v>
      </c>
      <c r="B6" s="5">
        <v>71</v>
      </c>
      <c r="C6" s="5">
        <v>75</v>
      </c>
      <c r="D6" s="5">
        <v>80</v>
      </c>
      <c r="E6" s="5">
        <v>67</v>
      </c>
      <c r="F6" s="5">
        <v>73</v>
      </c>
      <c r="G6" s="5">
        <v>50</v>
      </c>
      <c r="H6" s="5">
        <v>71</v>
      </c>
      <c r="I6" s="5">
        <v>43</v>
      </c>
      <c r="J6" s="5">
        <v>80</v>
      </c>
      <c r="K6" s="5">
        <v>65</v>
      </c>
      <c r="L6" s="5">
        <v>75</v>
      </c>
      <c r="M6" s="5">
        <v>750</v>
      </c>
      <c r="N6" s="5">
        <v>75</v>
      </c>
    </row>
    <row r="7" spans="1:14" x14ac:dyDescent="0.25">
      <c r="A7" s="7" t="s">
        <v>70</v>
      </c>
      <c r="B7" s="5">
        <v>76</v>
      </c>
      <c r="C7" s="5">
        <v>73</v>
      </c>
      <c r="D7" s="5">
        <v>80</v>
      </c>
      <c r="E7" s="5">
        <v>60</v>
      </c>
      <c r="F7" s="5">
        <v>73</v>
      </c>
      <c r="G7" s="5">
        <v>65</v>
      </c>
      <c r="H7" s="5">
        <v>76</v>
      </c>
      <c r="I7" s="5">
        <v>63</v>
      </c>
      <c r="J7" s="5">
        <v>54</v>
      </c>
      <c r="K7" s="5">
        <v>65</v>
      </c>
      <c r="L7" s="5">
        <v>75</v>
      </c>
      <c r="M7" s="5">
        <v>760</v>
      </c>
      <c r="N7" s="5">
        <v>76</v>
      </c>
    </row>
    <row r="8" spans="1:14" x14ac:dyDescent="0.25">
      <c r="A8" s="7" t="s">
        <v>50</v>
      </c>
      <c r="B8" s="5">
        <v>56</v>
      </c>
      <c r="C8" s="5">
        <v>76</v>
      </c>
      <c r="D8" s="5">
        <v>89</v>
      </c>
      <c r="E8" s="5">
        <v>90</v>
      </c>
      <c r="F8" s="5">
        <v>76</v>
      </c>
      <c r="G8" s="5">
        <v>75</v>
      </c>
      <c r="H8" s="5">
        <v>76</v>
      </c>
      <c r="I8" s="5">
        <v>79</v>
      </c>
      <c r="J8" s="5">
        <v>90</v>
      </c>
      <c r="K8" s="5">
        <v>65</v>
      </c>
      <c r="L8" s="5">
        <v>76</v>
      </c>
      <c r="M8" s="5">
        <v>848</v>
      </c>
      <c r="N8" s="5">
        <v>84.8</v>
      </c>
    </row>
    <row r="9" spans="1:14" x14ac:dyDescent="0.25">
      <c r="A9" s="7" t="s">
        <v>67</v>
      </c>
      <c r="B9" s="5">
        <v>67</v>
      </c>
      <c r="C9" s="5">
        <v>56</v>
      </c>
      <c r="D9" s="5">
        <v>56</v>
      </c>
      <c r="E9" s="5">
        <v>71</v>
      </c>
      <c r="F9" s="5">
        <v>70</v>
      </c>
      <c r="G9" s="5">
        <v>65</v>
      </c>
      <c r="H9" s="5">
        <v>76</v>
      </c>
      <c r="I9" s="5">
        <v>76</v>
      </c>
      <c r="J9" s="5">
        <v>78</v>
      </c>
      <c r="K9" s="5">
        <v>65</v>
      </c>
      <c r="L9" s="5">
        <v>75</v>
      </c>
      <c r="M9" s="5">
        <v>755</v>
      </c>
      <c r="N9" s="5">
        <v>75.5</v>
      </c>
    </row>
    <row r="10" spans="1:14" x14ac:dyDescent="0.25">
      <c r="A10" s="7" t="s">
        <v>77</v>
      </c>
      <c r="B10" s="5">
        <v>45</v>
      </c>
      <c r="C10" s="5">
        <v>75</v>
      </c>
      <c r="D10" s="5">
        <v>56</v>
      </c>
      <c r="E10" s="5">
        <v>60</v>
      </c>
      <c r="F10" s="5">
        <v>56</v>
      </c>
      <c r="G10" s="5">
        <v>65</v>
      </c>
      <c r="H10" s="5">
        <v>76</v>
      </c>
      <c r="I10" s="5">
        <v>56</v>
      </c>
      <c r="J10" s="5">
        <v>80</v>
      </c>
      <c r="K10" s="5">
        <v>47</v>
      </c>
      <c r="L10" s="5">
        <v>81</v>
      </c>
      <c r="M10" s="5">
        <v>697</v>
      </c>
      <c r="N10" s="5">
        <v>69.7</v>
      </c>
    </row>
    <row r="11" spans="1:14" x14ac:dyDescent="0.25">
      <c r="A11" s="7" t="s">
        <v>63</v>
      </c>
      <c r="B11" s="5">
        <v>67</v>
      </c>
      <c r="C11" s="5">
        <v>75</v>
      </c>
      <c r="D11" s="5">
        <v>80</v>
      </c>
      <c r="E11" s="5">
        <v>60</v>
      </c>
      <c r="F11" s="5">
        <v>73</v>
      </c>
      <c r="G11" s="5">
        <v>65</v>
      </c>
      <c r="H11" s="5">
        <v>76</v>
      </c>
      <c r="I11" s="5">
        <v>67</v>
      </c>
      <c r="J11" s="5">
        <v>80</v>
      </c>
      <c r="K11" s="5">
        <v>65</v>
      </c>
      <c r="L11" s="5">
        <v>75</v>
      </c>
      <c r="M11" s="5">
        <v>783</v>
      </c>
      <c r="N11" s="5">
        <v>78.3</v>
      </c>
    </row>
    <row r="12" spans="1:14" x14ac:dyDescent="0.25">
      <c r="A12" s="7" t="s">
        <v>44</v>
      </c>
      <c r="B12" s="5">
        <v>43</v>
      </c>
      <c r="C12" s="5">
        <v>39</v>
      </c>
      <c r="D12" s="5">
        <v>40</v>
      </c>
      <c r="E12" s="5">
        <v>59</v>
      </c>
      <c r="F12" s="5">
        <v>76</v>
      </c>
      <c r="G12" s="5">
        <v>89</v>
      </c>
      <c r="H12" s="5">
        <v>76</v>
      </c>
      <c r="I12" s="5">
        <v>65</v>
      </c>
      <c r="J12" s="5">
        <v>89</v>
      </c>
      <c r="K12" s="5">
        <v>56</v>
      </c>
      <c r="L12" s="5">
        <v>54</v>
      </c>
      <c r="M12" s="5">
        <v>686</v>
      </c>
      <c r="N12" s="5">
        <v>68.599999999999994</v>
      </c>
    </row>
    <row r="13" spans="1:14" x14ac:dyDescent="0.25">
      <c r="A13" s="7" t="s">
        <v>64</v>
      </c>
      <c r="B13" s="5">
        <v>67</v>
      </c>
      <c r="C13" s="5">
        <v>75</v>
      </c>
      <c r="D13" s="5">
        <v>65</v>
      </c>
      <c r="E13" s="5">
        <v>71</v>
      </c>
      <c r="F13" s="5">
        <v>73</v>
      </c>
      <c r="G13" s="5">
        <v>65</v>
      </c>
      <c r="H13" s="5">
        <v>76</v>
      </c>
      <c r="I13" s="5">
        <v>67</v>
      </c>
      <c r="J13" s="5">
        <v>80</v>
      </c>
      <c r="K13" s="5">
        <v>87</v>
      </c>
      <c r="L13" s="5">
        <v>75</v>
      </c>
      <c r="M13" s="5">
        <v>801</v>
      </c>
      <c r="N13" s="5">
        <v>80.099999999999994</v>
      </c>
    </row>
    <row r="14" spans="1:14" x14ac:dyDescent="0.25">
      <c r="A14" s="7" t="s">
        <v>46</v>
      </c>
      <c r="B14" s="5">
        <v>80</v>
      </c>
      <c r="C14" s="5">
        <v>56</v>
      </c>
      <c r="D14" s="5">
        <v>78</v>
      </c>
      <c r="E14" s="5">
        <v>98</v>
      </c>
      <c r="F14" s="5">
        <v>76</v>
      </c>
      <c r="G14" s="5">
        <v>87</v>
      </c>
      <c r="H14" s="5">
        <v>54</v>
      </c>
      <c r="I14" s="5">
        <v>35</v>
      </c>
      <c r="J14" s="5">
        <v>39</v>
      </c>
      <c r="K14" s="5">
        <v>70</v>
      </c>
      <c r="L14" s="5">
        <v>81</v>
      </c>
      <c r="M14" s="5">
        <v>754</v>
      </c>
      <c r="N14" s="5">
        <v>75.400000000000006</v>
      </c>
    </row>
    <row r="15" spans="1:14" x14ac:dyDescent="0.25">
      <c r="A15" s="7" t="s">
        <v>68</v>
      </c>
      <c r="B15" s="5">
        <v>67</v>
      </c>
      <c r="C15" s="5">
        <v>67</v>
      </c>
      <c r="D15" s="5">
        <v>71</v>
      </c>
      <c r="E15" s="5">
        <v>60</v>
      </c>
      <c r="F15" s="5">
        <v>67</v>
      </c>
      <c r="G15" s="5">
        <v>65</v>
      </c>
      <c r="H15" s="5">
        <v>56</v>
      </c>
      <c r="I15" s="5">
        <v>73</v>
      </c>
      <c r="J15" s="5">
        <v>67</v>
      </c>
      <c r="K15" s="5">
        <v>63</v>
      </c>
      <c r="L15" s="5">
        <v>75</v>
      </c>
      <c r="M15" s="5">
        <v>731</v>
      </c>
      <c r="N15" s="5">
        <v>73.099999999999994</v>
      </c>
    </row>
    <row r="16" spans="1:14" x14ac:dyDescent="0.25">
      <c r="A16" s="7" t="s">
        <v>19</v>
      </c>
      <c r="B16" s="5">
        <v>40</v>
      </c>
      <c r="C16" s="5">
        <v>65</v>
      </c>
      <c r="D16" s="5">
        <v>73</v>
      </c>
      <c r="E16" s="5">
        <v>50</v>
      </c>
      <c r="F16" s="5">
        <v>60</v>
      </c>
      <c r="G16" s="5">
        <v>80</v>
      </c>
      <c r="H16" s="5">
        <v>65</v>
      </c>
      <c r="I16" s="5">
        <v>54</v>
      </c>
      <c r="J16" s="5">
        <v>73</v>
      </c>
      <c r="K16" s="5">
        <v>85</v>
      </c>
      <c r="L16" s="5">
        <v>78</v>
      </c>
      <c r="M16" s="5">
        <v>723</v>
      </c>
      <c r="N16" s="5">
        <v>72.3</v>
      </c>
    </row>
    <row r="17" spans="1:14" x14ac:dyDescent="0.25">
      <c r="A17" s="7" t="s">
        <v>40</v>
      </c>
      <c r="B17" s="5">
        <v>70</v>
      </c>
      <c r="C17" s="5">
        <v>76</v>
      </c>
      <c r="D17" s="5">
        <v>75</v>
      </c>
      <c r="E17" s="5">
        <v>65</v>
      </c>
      <c r="F17" s="5">
        <v>54</v>
      </c>
      <c r="G17" s="5">
        <v>80</v>
      </c>
      <c r="H17" s="5">
        <v>76</v>
      </c>
      <c r="I17" s="5">
        <v>65</v>
      </c>
      <c r="J17" s="5">
        <v>76</v>
      </c>
      <c r="K17" s="5">
        <v>89</v>
      </c>
      <c r="L17" s="5">
        <v>65</v>
      </c>
      <c r="M17" s="5">
        <v>791</v>
      </c>
      <c r="N17" s="5">
        <v>79.099999999999994</v>
      </c>
    </row>
    <row r="18" spans="1:14" x14ac:dyDescent="0.25">
      <c r="A18" s="7" t="s">
        <v>59</v>
      </c>
      <c r="B18" s="5">
        <v>56</v>
      </c>
      <c r="C18" s="5">
        <v>78</v>
      </c>
      <c r="D18" s="5">
        <v>98</v>
      </c>
      <c r="E18" s="5">
        <v>67</v>
      </c>
      <c r="F18" s="5">
        <v>78</v>
      </c>
      <c r="G18" s="5">
        <v>76</v>
      </c>
      <c r="H18" s="5">
        <v>56</v>
      </c>
      <c r="I18" s="5">
        <v>54</v>
      </c>
      <c r="J18" s="5">
        <v>54</v>
      </c>
      <c r="K18" s="5">
        <v>76</v>
      </c>
      <c r="L18" s="5">
        <v>67</v>
      </c>
      <c r="M18" s="5">
        <v>760</v>
      </c>
      <c r="N18" s="5">
        <v>76</v>
      </c>
    </row>
    <row r="19" spans="1:14" x14ac:dyDescent="0.25">
      <c r="A19" s="7" t="s">
        <v>72</v>
      </c>
      <c r="B19" s="5">
        <v>67</v>
      </c>
      <c r="C19" s="5">
        <v>67</v>
      </c>
      <c r="D19" s="5">
        <v>80</v>
      </c>
      <c r="E19" s="5">
        <v>56</v>
      </c>
      <c r="F19" s="5">
        <v>73</v>
      </c>
      <c r="G19" s="5">
        <v>76</v>
      </c>
      <c r="H19" s="5">
        <v>50</v>
      </c>
      <c r="I19" s="5">
        <v>67</v>
      </c>
      <c r="J19" s="5">
        <v>76</v>
      </c>
      <c r="K19" s="5">
        <v>71</v>
      </c>
      <c r="L19" s="5">
        <v>75</v>
      </c>
      <c r="M19" s="5">
        <v>758</v>
      </c>
      <c r="N19" s="5">
        <v>75.8</v>
      </c>
    </row>
    <row r="20" spans="1:14" x14ac:dyDescent="0.25">
      <c r="A20" s="7" t="s">
        <v>83</v>
      </c>
      <c r="B20" s="5">
        <v>71</v>
      </c>
      <c r="C20" s="5">
        <v>81</v>
      </c>
      <c r="D20" s="5">
        <v>80</v>
      </c>
      <c r="E20" s="5">
        <v>80</v>
      </c>
      <c r="F20" s="5">
        <v>73</v>
      </c>
      <c r="G20" s="5">
        <v>70</v>
      </c>
      <c r="H20" s="5">
        <v>76</v>
      </c>
      <c r="I20" s="5">
        <v>65</v>
      </c>
      <c r="J20" s="5">
        <v>56</v>
      </c>
      <c r="K20" s="5">
        <v>75</v>
      </c>
      <c r="L20" s="5">
        <v>65</v>
      </c>
      <c r="M20" s="5">
        <v>792</v>
      </c>
      <c r="N20" s="5">
        <v>79.2</v>
      </c>
    </row>
    <row r="21" spans="1:14" x14ac:dyDescent="0.25">
      <c r="A21" s="7" t="s">
        <v>27</v>
      </c>
      <c r="B21" s="5">
        <v>65</v>
      </c>
      <c r="C21" s="5">
        <v>78</v>
      </c>
      <c r="D21" s="5">
        <v>78</v>
      </c>
      <c r="E21" s="5">
        <v>80</v>
      </c>
      <c r="F21" s="5">
        <v>56</v>
      </c>
      <c r="G21" s="5">
        <v>45</v>
      </c>
      <c r="H21" s="5">
        <v>34</v>
      </c>
      <c r="I21" s="5">
        <v>56</v>
      </c>
      <c r="J21" s="5">
        <v>70</v>
      </c>
      <c r="K21" s="5">
        <v>56</v>
      </c>
      <c r="L21" s="5">
        <v>86</v>
      </c>
      <c r="M21" s="5">
        <v>704</v>
      </c>
      <c r="N21" s="5">
        <v>70.400000000000006</v>
      </c>
    </row>
    <row r="22" spans="1:14" x14ac:dyDescent="0.25">
      <c r="A22" s="7" t="s">
        <v>73</v>
      </c>
      <c r="B22" s="5">
        <v>65</v>
      </c>
      <c r="C22" s="5">
        <v>78</v>
      </c>
      <c r="D22" s="5">
        <v>43</v>
      </c>
      <c r="E22" s="5">
        <v>71</v>
      </c>
      <c r="F22" s="5">
        <v>73</v>
      </c>
      <c r="G22" s="5">
        <v>65</v>
      </c>
      <c r="H22" s="5">
        <v>76</v>
      </c>
      <c r="I22" s="5">
        <v>67</v>
      </c>
      <c r="J22" s="5">
        <v>80</v>
      </c>
      <c r="K22" s="5">
        <v>81</v>
      </c>
      <c r="L22" s="5">
        <v>75</v>
      </c>
      <c r="M22" s="5">
        <v>774</v>
      </c>
      <c r="N22" s="5">
        <v>77.400000000000006</v>
      </c>
    </row>
    <row r="23" spans="1:14" x14ac:dyDescent="0.25">
      <c r="A23" s="7" t="s">
        <v>48</v>
      </c>
      <c r="B23" s="5">
        <v>37</v>
      </c>
      <c r="C23" s="5">
        <v>76</v>
      </c>
      <c r="D23" s="5">
        <v>56</v>
      </c>
      <c r="E23" s="5">
        <v>94</v>
      </c>
      <c r="F23" s="5">
        <v>70</v>
      </c>
      <c r="G23" s="5">
        <v>65</v>
      </c>
      <c r="H23" s="5">
        <v>54</v>
      </c>
      <c r="I23" s="5">
        <v>76</v>
      </c>
      <c r="J23" s="5">
        <v>89</v>
      </c>
      <c r="K23" s="5">
        <v>67</v>
      </c>
      <c r="L23" s="5">
        <v>80</v>
      </c>
      <c r="M23" s="5">
        <v>764</v>
      </c>
      <c r="N23" s="5">
        <v>76.400000000000006</v>
      </c>
    </row>
    <row r="24" spans="1:14" x14ac:dyDescent="0.25">
      <c r="A24" s="7" t="s">
        <v>85</v>
      </c>
      <c r="B24" s="5">
        <v>45</v>
      </c>
      <c r="C24" s="5">
        <v>61</v>
      </c>
      <c r="D24" s="5">
        <v>80</v>
      </c>
      <c r="E24" s="5">
        <v>28</v>
      </c>
      <c r="F24" s="5">
        <v>73</v>
      </c>
      <c r="G24" s="5">
        <v>65</v>
      </c>
      <c r="H24" s="5">
        <v>80</v>
      </c>
      <c r="I24" s="5">
        <v>54</v>
      </c>
      <c r="J24" s="5">
        <v>54</v>
      </c>
      <c r="K24" s="5">
        <v>75</v>
      </c>
      <c r="L24" s="5">
        <v>54</v>
      </c>
      <c r="M24" s="5">
        <v>669</v>
      </c>
      <c r="N24" s="5">
        <v>66.900000000000006</v>
      </c>
    </row>
    <row r="25" spans="1:14" x14ac:dyDescent="0.25">
      <c r="A25" s="7" t="s">
        <v>81</v>
      </c>
      <c r="B25" s="5">
        <v>67</v>
      </c>
      <c r="C25" s="5">
        <v>45</v>
      </c>
      <c r="D25" s="5">
        <v>80</v>
      </c>
      <c r="E25" s="5">
        <v>60</v>
      </c>
      <c r="F25" s="5">
        <v>73</v>
      </c>
      <c r="G25" s="5">
        <v>65</v>
      </c>
      <c r="H25" s="5">
        <v>76</v>
      </c>
      <c r="I25" s="5">
        <v>76</v>
      </c>
      <c r="J25" s="5">
        <v>65</v>
      </c>
      <c r="K25" s="5">
        <v>70</v>
      </c>
      <c r="L25" s="5">
        <v>76</v>
      </c>
      <c r="M25" s="5">
        <v>753</v>
      </c>
      <c r="N25" s="5">
        <v>75.3</v>
      </c>
    </row>
    <row r="26" spans="1:14" x14ac:dyDescent="0.25">
      <c r="A26" s="7" t="s">
        <v>31</v>
      </c>
      <c r="B26" s="5">
        <v>65</v>
      </c>
      <c r="C26" s="5">
        <v>74</v>
      </c>
      <c r="D26" s="5">
        <v>65</v>
      </c>
      <c r="E26" s="5">
        <v>54</v>
      </c>
      <c r="F26" s="5">
        <v>78</v>
      </c>
      <c r="G26" s="5">
        <v>90</v>
      </c>
      <c r="H26" s="5">
        <v>65</v>
      </c>
      <c r="I26" s="5">
        <v>45</v>
      </c>
      <c r="J26" s="5">
        <v>65</v>
      </c>
      <c r="K26" s="5">
        <v>65</v>
      </c>
      <c r="L26" s="5">
        <v>54</v>
      </c>
      <c r="M26" s="5">
        <v>720</v>
      </c>
      <c r="N26" s="5">
        <v>72</v>
      </c>
    </row>
    <row r="27" spans="1:14" x14ac:dyDescent="0.25">
      <c r="A27" s="7" t="s">
        <v>79</v>
      </c>
      <c r="B27" s="5">
        <v>67</v>
      </c>
      <c r="C27" s="5">
        <v>66</v>
      </c>
      <c r="D27" s="5">
        <v>80</v>
      </c>
      <c r="E27" s="5">
        <v>60</v>
      </c>
      <c r="F27" s="5">
        <v>39</v>
      </c>
      <c r="G27" s="5">
        <v>64</v>
      </c>
      <c r="H27" s="5">
        <v>30</v>
      </c>
      <c r="I27" s="5">
        <v>56</v>
      </c>
      <c r="J27" s="5">
        <v>81</v>
      </c>
      <c r="K27" s="5">
        <v>48</v>
      </c>
      <c r="L27" s="5">
        <v>65</v>
      </c>
      <c r="M27" s="5">
        <v>656</v>
      </c>
      <c r="N27" s="5">
        <v>65.599999999999994</v>
      </c>
    </row>
    <row r="28" spans="1:14" x14ac:dyDescent="0.25">
      <c r="A28" s="7" t="s">
        <v>86</v>
      </c>
      <c r="B28" s="5">
        <v>67</v>
      </c>
      <c r="C28" s="5">
        <v>75</v>
      </c>
      <c r="D28" s="5">
        <v>56</v>
      </c>
      <c r="E28" s="5">
        <v>35</v>
      </c>
      <c r="F28" s="5">
        <v>73</v>
      </c>
      <c r="G28" s="5">
        <v>65</v>
      </c>
      <c r="H28" s="5">
        <v>76</v>
      </c>
      <c r="I28" s="5">
        <v>54</v>
      </c>
      <c r="J28" s="5">
        <v>65</v>
      </c>
      <c r="K28" s="5">
        <v>75</v>
      </c>
      <c r="L28" s="5">
        <v>75</v>
      </c>
      <c r="M28" s="5">
        <v>716</v>
      </c>
      <c r="N28" s="5">
        <v>71.599999999999994</v>
      </c>
    </row>
    <row r="29" spans="1:14" x14ac:dyDescent="0.25">
      <c r="A29" s="7" t="s">
        <v>62</v>
      </c>
      <c r="B29" s="5">
        <v>67</v>
      </c>
      <c r="C29" s="5">
        <v>75</v>
      </c>
      <c r="D29" s="5">
        <v>80</v>
      </c>
      <c r="E29" s="5">
        <v>60</v>
      </c>
      <c r="F29" s="5">
        <v>73</v>
      </c>
      <c r="G29" s="5">
        <v>65</v>
      </c>
      <c r="H29" s="5">
        <v>76</v>
      </c>
      <c r="I29" s="5">
        <v>67</v>
      </c>
      <c r="J29" s="5">
        <v>80</v>
      </c>
      <c r="K29" s="5">
        <v>73</v>
      </c>
      <c r="L29" s="5">
        <v>75</v>
      </c>
      <c r="M29" s="5">
        <v>791</v>
      </c>
      <c r="N29" s="5">
        <v>79.099999999999994</v>
      </c>
    </row>
    <row r="30" spans="1:14" x14ac:dyDescent="0.25">
      <c r="A30" s="7" t="s">
        <v>53</v>
      </c>
      <c r="B30" s="5">
        <v>43</v>
      </c>
      <c r="C30" s="5">
        <v>56</v>
      </c>
      <c r="D30" s="5">
        <v>76</v>
      </c>
      <c r="E30" s="5">
        <v>89</v>
      </c>
      <c r="F30" s="5">
        <v>90</v>
      </c>
      <c r="G30" s="5">
        <v>76</v>
      </c>
      <c r="H30" s="5">
        <v>54</v>
      </c>
      <c r="I30" s="5">
        <v>45</v>
      </c>
      <c r="J30" s="5">
        <v>67</v>
      </c>
      <c r="K30" s="5">
        <v>87</v>
      </c>
      <c r="L30" s="5">
        <v>87</v>
      </c>
      <c r="M30" s="5">
        <v>770</v>
      </c>
      <c r="N30" s="5">
        <v>77</v>
      </c>
    </row>
    <row r="31" spans="1:14" x14ac:dyDescent="0.25">
      <c r="A31" s="7" t="s">
        <v>21</v>
      </c>
      <c r="B31" s="5">
        <v>134</v>
      </c>
      <c r="C31" s="5">
        <v>156</v>
      </c>
      <c r="D31" s="5">
        <v>174</v>
      </c>
      <c r="E31" s="5">
        <v>143</v>
      </c>
      <c r="F31" s="5">
        <v>129</v>
      </c>
      <c r="G31" s="5">
        <v>113</v>
      </c>
      <c r="H31" s="5">
        <v>137</v>
      </c>
      <c r="I31" s="5">
        <v>166</v>
      </c>
      <c r="J31" s="5">
        <v>139</v>
      </c>
      <c r="K31" s="5">
        <v>163</v>
      </c>
      <c r="L31" s="5">
        <v>110</v>
      </c>
      <c r="M31" s="5">
        <v>1564</v>
      </c>
      <c r="N31" s="5">
        <v>156.4</v>
      </c>
    </row>
    <row r="32" spans="1:14" x14ac:dyDescent="0.25">
      <c r="A32" s="7" t="s">
        <v>29</v>
      </c>
      <c r="B32" s="5">
        <v>65</v>
      </c>
      <c r="C32" s="5">
        <v>78</v>
      </c>
      <c r="D32" s="5">
        <v>98</v>
      </c>
      <c r="E32" s="5">
        <v>80</v>
      </c>
      <c r="F32" s="5">
        <v>54</v>
      </c>
      <c r="G32" s="5">
        <v>43</v>
      </c>
      <c r="H32" s="5">
        <v>44</v>
      </c>
      <c r="I32" s="5">
        <v>67</v>
      </c>
      <c r="J32" s="5">
        <v>65</v>
      </c>
      <c r="K32" s="5">
        <v>97</v>
      </c>
      <c r="L32" s="5">
        <v>45</v>
      </c>
      <c r="M32" s="5">
        <v>736</v>
      </c>
      <c r="N32" s="5">
        <v>73.599999999999994</v>
      </c>
    </row>
    <row r="33" spans="1:14" x14ac:dyDescent="0.25">
      <c r="A33" s="7" t="s">
        <v>51</v>
      </c>
      <c r="B33" s="5">
        <v>54</v>
      </c>
      <c r="C33" s="5">
        <v>67</v>
      </c>
      <c r="D33" s="5">
        <v>89</v>
      </c>
      <c r="E33" s="5">
        <v>76</v>
      </c>
      <c r="F33" s="5">
        <v>65</v>
      </c>
      <c r="G33" s="5">
        <v>78</v>
      </c>
      <c r="H33" s="5">
        <v>65</v>
      </c>
      <c r="I33" s="5">
        <v>87</v>
      </c>
      <c r="J33" s="5">
        <v>87</v>
      </c>
      <c r="K33" s="5">
        <v>56</v>
      </c>
      <c r="L33" s="5">
        <v>87</v>
      </c>
      <c r="M33" s="5">
        <v>811</v>
      </c>
      <c r="N33" s="5">
        <v>81.099999999999994</v>
      </c>
    </row>
    <row r="34" spans="1:14" x14ac:dyDescent="0.25">
      <c r="A34" s="7" t="s">
        <v>42</v>
      </c>
      <c r="B34" s="5">
        <v>54</v>
      </c>
      <c r="C34" s="5">
        <v>76</v>
      </c>
      <c r="D34" s="5">
        <v>87</v>
      </c>
      <c r="E34" s="5">
        <v>90</v>
      </c>
      <c r="F34" s="5">
        <v>76</v>
      </c>
      <c r="G34" s="5">
        <v>65</v>
      </c>
      <c r="H34" s="5">
        <v>54</v>
      </c>
      <c r="I34" s="5">
        <v>67</v>
      </c>
      <c r="J34" s="5">
        <v>87</v>
      </c>
      <c r="K34" s="5">
        <v>76</v>
      </c>
      <c r="L34" s="5">
        <v>89</v>
      </c>
      <c r="M34" s="5">
        <v>821</v>
      </c>
      <c r="N34" s="5">
        <v>82.1</v>
      </c>
    </row>
    <row r="35" spans="1:14" x14ac:dyDescent="0.25">
      <c r="A35" s="7" t="s">
        <v>49</v>
      </c>
      <c r="B35" s="5">
        <v>90</v>
      </c>
      <c r="C35" s="5">
        <v>56</v>
      </c>
      <c r="D35" s="5">
        <v>76</v>
      </c>
      <c r="E35" s="5">
        <v>89</v>
      </c>
      <c r="F35" s="5">
        <v>65</v>
      </c>
      <c r="G35" s="5">
        <v>56</v>
      </c>
      <c r="H35" s="5">
        <v>78</v>
      </c>
      <c r="I35" s="5">
        <v>89</v>
      </c>
      <c r="J35" s="5">
        <v>65</v>
      </c>
      <c r="K35" s="5">
        <v>80</v>
      </c>
      <c r="L35" s="5">
        <v>54</v>
      </c>
      <c r="M35" s="5">
        <v>798</v>
      </c>
      <c r="N35" s="5">
        <v>79.8</v>
      </c>
    </row>
    <row r="36" spans="1:14" x14ac:dyDescent="0.25">
      <c r="A36" s="7" t="s">
        <v>69</v>
      </c>
      <c r="B36" s="5">
        <v>56</v>
      </c>
      <c r="C36" s="5">
        <v>56</v>
      </c>
      <c r="D36" s="5">
        <v>54</v>
      </c>
      <c r="E36" s="5">
        <v>60</v>
      </c>
      <c r="F36" s="5">
        <v>80</v>
      </c>
      <c r="G36" s="5">
        <v>45</v>
      </c>
      <c r="H36" s="5">
        <v>76</v>
      </c>
      <c r="I36" s="5">
        <v>66</v>
      </c>
      <c r="J36" s="5">
        <v>76</v>
      </c>
      <c r="K36" s="5">
        <v>64</v>
      </c>
      <c r="L36" s="5">
        <v>75</v>
      </c>
      <c r="M36" s="5">
        <v>708</v>
      </c>
      <c r="N36" s="5">
        <v>70.8</v>
      </c>
    </row>
    <row r="37" spans="1:14" x14ac:dyDescent="0.25">
      <c r="A37" s="7" t="s">
        <v>91</v>
      </c>
      <c r="B37" s="5">
        <v>68</v>
      </c>
      <c r="C37" s="5">
        <v>80</v>
      </c>
      <c r="D37" s="5">
        <v>71</v>
      </c>
      <c r="E37" s="5">
        <v>45</v>
      </c>
      <c r="F37" s="5">
        <v>67</v>
      </c>
      <c r="G37" s="5">
        <v>65</v>
      </c>
      <c r="H37" s="5">
        <v>76</v>
      </c>
      <c r="I37" s="5">
        <v>67</v>
      </c>
      <c r="J37" s="5">
        <v>80</v>
      </c>
      <c r="K37" s="5">
        <v>76</v>
      </c>
      <c r="L37" s="5">
        <v>73</v>
      </c>
      <c r="M37" s="5">
        <v>768</v>
      </c>
      <c r="N37" s="5">
        <v>76.8</v>
      </c>
    </row>
    <row r="38" spans="1:14" x14ac:dyDescent="0.25">
      <c r="A38" s="7" t="s">
        <v>25</v>
      </c>
      <c r="B38" s="5">
        <v>54</v>
      </c>
      <c r="C38" s="5">
        <v>67</v>
      </c>
      <c r="D38" s="5">
        <v>89</v>
      </c>
      <c r="E38" s="5">
        <v>70</v>
      </c>
      <c r="F38" s="5">
        <v>60</v>
      </c>
      <c r="G38" s="5">
        <v>65</v>
      </c>
      <c r="H38" s="5">
        <v>54</v>
      </c>
      <c r="I38" s="5">
        <v>67</v>
      </c>
      <c r="J38" s="5">
        <v>80</v>
      </c>
      <c r="K38" s="5">
        <v>78</v>
      </c>
      <c r="L38" s="5">
        <v>65</v>
      </c>
      <c r="M38" s="5">
        <v>749</v>
      </c>
      <c r="N38" s="5">
        <v>74.900000000000006</v>
      </c>
    </row>
    <row r="39" spans="1:14" x14ac:dyDescent="0.25">
      <c r="A39" s="7" t="s">
        <v>71</v>
      </c>
      <c r="B39" s="5">
        <v>85</v>
      </c>
      <c r="C39" s="5">
        <v>61</v>
      </c>
      <c r="D39" s="5">
        <v>80</v>
      </c>
      <c r="E39" s="5">
        <v>65</v>
      </c>
      <c r="F39" s="5">
        <v>73</v>
      </c>
      <c r="G39" s="5">
        <v>56</v>
      </c>
      <c r="H39" s="5">
        <v>76</v>
      </c>
      <c r="I39" s="5">
        <v>65</v>
      </c>
      <c r="J39" s="5">
        <v>65</v>
      </c>
      <c r="K39" s="5">
        <v>76</v>
      </c>
      <c r="L39" s="5">
        <v>75</v>
      </c>
      <c r="M39" s="5">
        <v>777</v>
      </c>
      <c r="N39" s="5">
        <v>77.7</v>
      </c>
    </row>
    <row r="40" spans="1:14" x14ac:dyDescent="0.25">
      <c r="A40" s="7" t="s">
        <v>98</v>
      </c>
      <c r="B40" s="5">
        <v>70</v>
      </c>
      <c r="C40" s="5">
        <v>68</v>
      </c>
      <c r="D40" s="5">
        <v>89</v>
      </c>
      <c r="E40" s="5">
        <v>59</v>
      </c>
      <c r="F40" s="5">
        <v>60</v>
      </c>
      <c r="G40" s="5">
        <v>70</v>
      </c>
      <c r="H40" s="5">
        <v>60</v>
      </c>
      <c r="I40" s="5">
        <v>80</v>
      </c>
      <c r="J40" s="5">
        <v>75</v>
      </c>
      <c r="K40" s="5">
        <v>80</v>
      </c>
      <c r="L40" s="5">
        <v>69</v>
      </c>
      <c r="M40" s="5">
        <v>780</v>
      </c>
      <c r="N40" s="5">
        <v>78</v>
      </c>
    </row>
    <row r="41" spans="1:14" x14ac:dyDescent="0.25">
      <c r="A41" s="7" t="s">
        <v>30</v>
      </c>
      <c r="B41" s="5">
        <v>54</v>
      </c>
      <c r="C41" s="5">
        <v>76</v>
      </c>
      <c r="D41" s="5">
        <v>89</v>
      </c>
      <c r="E41" s="5">
        <v>80</v>
      </c>
      <c r="F41" s="5">
        <v>76</v>
      </c>
      <c r="G41" s="5">
        <v>90</v>
      </c>
      <c r="H41" s="5">
        <v>65</v>
      </c>
      <c r="I41" s="5">
        <v>54</v>
      </c>
      <c r="J41" s="5">
        <v>65</v>
      </c>
      <c r="K41" s="5">
        <v>78</v>
      </c>
      <c r="L41" s="5">
        <v>65</v>
      </c>
      <c r="M41" s="5">
        <v>792</v>
      </c>
      <c r="N41" s="5">
        <v>79.2</v>
      </c>
    </row>
    <row r="42" spans="1:14" x14ac:dyDescent="0.25">
      <c r="A42" s="7" t="s">
        <v>34</v>
      </c>
      <c r="B42" s="5">
        <v>55</v>
      </c>
      <c r="C42" s="5">
        <v>67</v>
      </c>
      <c r="D42" s="5">
        <v>89</v>
      </c>
      <c r="E42" s="5">
        <v>76</v>
      </c>
      <c r="F42" s="5">
        <v>75</v>
      </c>
      <c r="G42" s="5">
        <v>54</v>
      </c>
      <c r="H42" s="5">
        <v>34</v>
      </c>
      <c r="I42" s="5">
        <v>54</v>
      </c>
      <c r="J42" s="5">
        <v>56</v>
      </c>
      <c r="K42" s="5">
        <v>79</v>
      </c>
      <c r="L42" s="5">
        <v>78</v>
      </c>
      <c r="M42" s="5">
        <v>717</v>
      </c>
      <c r="N42" s="5">
        <v>71.7</v>
      </c>
    </row>
    <row r="43" spans="1:14" x14ac:dyDescent="0.25">
      <c r="A43" s="7" t="s">
        <v>61</v>
      </c>
      <c r="B43" s="5">
        <v>67</v>
      </c>
      <c r="C43" s="5">
        <v>87</v>
      </c>
      <c r="D43" s="5">
        <v>90</v>
      </c>
      <c r="E43" s="5">
        <v>76</v>
      </c>
      <c r="F43" s="5">
        <v>54</v>
      </c>
      <c r="G43" s="5">
        <v>76</v>
      </c>
      <c r="H43" s="5">
        <v>98</v>
      </c>
      <c r="I43" s="5">
        <v>90</v>
      </c>
      <c r="J43" s="5">
        <v>76</v>
      </c>
      <c r="K43" s="5">
        <v>75</v>
      </c>
      <c r="L43" s="5">
        <v>56</v>
      </c>
      <c r="M43" s="5">
        <v>845</v>
      </c>
      <c r="N43" s="5">
        <v>84.5</v>
      </c>
    </row>
    <row r="44" spans="1:14" x14ac:dyDescent="0.25">
      <c r="A44" s="7" t="s">
        <v>38</v>
      </c>
      <c r="B44" s="5">
        <v>45</v>
      </c>
      <c r="C44" s="5">
        <v>78</v>
      </c>
      <c r="D44" s="5">
        <v>90</v>
      </c>
      <c r="E44" s="5">
        <v>54</v>
      </c>
      <c r="F44" s="5">
        <v>74</v>
      </c>
      <c r="G44" s="5">
        <v>76</v>
      </c>
      <c r="H44" s="5">
        <v>65</v>
      </c>
      <c r="I44" s="5">
        <v>78</v>
      </c>
      <c r="J44" s="5">
        <v>98</v>
      </c>
      <c r="K44" s="5">
        <v>76</v>
      </c>
      <c r="L44" s="5">
        <v>65</v>
      </c>
      <c r="M44" s="5">
        <v>799</v>
      </c>
      <c r="N44" s="5">
        <v>79.900000000000006</v>
      </c>
    </row>
    <row r="45" spans="1:14" x14ac:dyDescent="0.25">
      <c r="A45" s="7" t="s">
        <v>90</v>
      </c>
      <c r="B45" s="5">
        <v>76</v>
      </c>
      <c r="C45" s="5">
        <v>65</v>
      </c>
      <c r="D45" s="5">
        <v>53</v>
      </c>
      <c r="E45" s="5">
        <v>65</v>
      </c>
      <c r="F45" s="5">
        <v>57</v>
      </c>
      <c r="G45" s="5">
        <v>65</v>
      </c>
      <c r="H45" s="5">
        <v>54</v>
      </c>
      <c r="I45" s="5">
        <v>67</v>
      </c>
      <c r="J45" s="5">
        <v>80</v>
      </c>
      <c r="K45" s="5">
        <v>67</v>
      </c>
      <c r="L45" s="5">
        <v>75</v>
      </c>
      <c r="M45" s="5">
        <v>724</v>
      </c>
      <c r="N45" s="5">
        <v>72.400000000000006</v>
      </c>
    </row>
    <row r="46" spans="1:14" x14ac:dyDescent="0.25">
      <c r="A46" s="7" t="s">
        <v>75</v>
      </c>
      <c r="B46" s="5">
        <v>67</v>
      </c>
      <c r="C46" s="5">
        <v>75</v>
      </c>
      <c r="D46" s="5">
        <v>35</v>
      </c>
      <c r="E46" s="5">
        <v>54</v>
      </c>
      <c r="F46" s="5">
        <v>65</v>
      </c>
      <c r="G46" s="5">
        <v>45</v>
      </c>
      <c r="H46" s="5">
        <v>76</v>
      </c>
      <c r="I46" s="5">
        <v>67</v>
      </c>
      <c r="J46" s="5">
        <v>80</v>
      </c>
      <c r="K46" s="5">
        <v>51</v>
      </c>
      <c r="L46" s="5">
        <v>71</v>
      </c>
      <c r="M46" s="5">
        <v>686</v>
      </c>
      <c r="N46" s="5">
        <v>68.599999999999994</v>
      </c>
    </row>
    <row r="47" spans="1:14" x14ac:dyDescent="0.25">
      <c r="A47" s="7" t="s">
        <v>23</v>
      </c>
      <c r="B47" s="5">
        <v>80</v>
      </c>
      <c r="C47" s="5">
        <v>56</v>
      </c>
      <c r="D47" s="5">
        <v>78</v>
      </c>
      <c r="E47" s="5">
        <v>80</v>
      </c>
      <c r="F47" s="5">
        <v>78</v>
      </c>
      <c r="G47" s="5">
        <v>89</v>
      </c>
      <c r="H47" s="5">
        <v>67</v>
      </c>
      <c r="I47" s="5">
        <v>53</v>
      </c>
      <c r="J47" s="5">
        <v>60</v>
      </c>
      <c r="K47" s="5">
        <v>78</v>
      </c>
      <c r="L47" s="5">
        <v>56</v>
      </c>
      <c r="M47" s="5">
        <v>775</v>
      </c>
      <c r="N47" s="5">
        <v>77.5</v>
      </c>
    </row>
    <row r="48" spans="1:14" x14ac:dyDescent="0.25">
      <c r="A48" s="7" t="s">
        <v>37</v>
      </c>
      <c r="B48" s="5">
        <v>54</v>
      </c>
      <c r="C48" s="5">
        <v>67</v>
      </c>
      <c r="D48" s="5">
        <v>89</v>
      </c>
      <c r="E48" s="5">
        <v>90</v>
      </c>
      <c r="F48" s="5">
        <v>65</v>
      </c>
      <c r="G48" s="5">
        <v>45</v>
      </c>
      <c r="H48" s="5">
        <v>65</v>
      </c>
      <c r="I48" s="5">
        <v>78</v>
      </c>
      <c r="J48" s="5">
        <v>98</v>
      </c>
      <c r="K48" s="5">
        <v>60</v>
      </c>
      <c r="L48" s="5">
        <v>78</v>
      </c>
      <c r="M48" s="5">
        <v>789</v>
      </c>
      <c r="N48" s="5">
        <v>78.900000000000006</v>
      </c>
    </row>
    <row r="49" spans="1:14" x14ac:dyDescent="0.25">
      <c r="A49" s="7" t="s">
        <v>76</v>
      </c>
      <c r="B49" s="5">
        <v>67</v>
      </c>
      <c r="C49" s="5">
        <v>75</v>
      </c>
      <c r="D49" s="5">
        <v>28</v>
      </c>
      <c r="E49" s="5">
        <v>60</v>
      </c>
      <c r="F49" s="5">
        <v>61</v>
      </c>
      <c r="G49" s="5">
        <v>70</v>
      </c>
      <c r="H49" s="5">
        <v>45</v>
      </c>
      <c r="I49" s="5">
        <v>67</v>
      </c>
      <c r="J49" s="5">
        <v>80</v>
      </c>
      <c r="K49" s="5">
        <v>49</v>
      </c>
      <c r="L49" s="5">
        <v>67</v>
      </c>
      <c r="M49" s="5">
        <v>669</v>
      </c>
      <c r="N49" s="5">
        <v>66.900000000000006</v>
      </c>
    </row>
    <row r="50" spans="1:14" x14ac:dyDescent="0.25">
      <c r="A50" s="7" t="s">
        <v>88</v>
      </c>
      <c r="B50" s="5">
        <v>66</v>
      </c>
      <c r="C50" s="5">
        <v>75</v>
      </c>
      <c r="D50" s="5">
        <v>71</v>
      </c>
      <c r="E50" s="5">
        <v>40</v>
      </c>
      <c r="F50" s="5">
        <v>56</v>
      </c>
      <c r="G50" s="5">
        <v>61</v>
      </c>
      <c r="H50" s="5">
        <v>76</v>
      </c>
      <c r="I50" s="5">
        <v>67</v>
      </c>
      <c r="J50" s="5">
        <v>80</v>
      </c>
      <c r="K50" s="5">
        <v>75</v>
      </c>
      <c r="L50" s="5">
        <v>71</v>
      </c>
      <c r="M50" s="5">
        <v>738</v>
      </c>
      <c r="N50" s="5">
        <v>73.8</v>
      </c>
    </row>
    <row r="51" spans="1:14" x14ac:dyDescent="0.25">
      <c r="A51" s="7" t="s">
        <v>57</v>
      </c>
      <c r="B51" s="5">
        <v>78</v>
      </c>
      <c r="C51" s="5">
        <v>25</v>
      </c>
      <c r="D51" s="5">
        <v>45</v>
      </c>
      <c r="E51" s="5">
        <v>67</v>
      </c>
      <c r="F51" s="5">
        <v>78</v>
      </c>
      <c r="G51" s="5">
        <v>89</v>
      </c>
      <c r="H51" s="5">
        <v>67</v>
      </c>
      <c r="I51" s="5">
        <v>45</v>
      </c>
      <c r="J51" s="5">
        <v>56</v>
      </c>
      <c r="K51" s="5">
        <v>66</v>
      </c>
      <c r="L51" s="5">
        <v>78</v>
      </c>
      <c r="M51" s="5">
        <v>694</v>
      </c>
      <c r="N51" s="5">
        <v>69.400000000000006</v>
      </c>
    </row>
    <row r="52" spans="1:14" x14ac:dyDescent="0.25">
      <c r="A52" s="7" t="s">
        <v>36</v>
      </c>
      <c r="B52" s="5">
        <v>65</v>
      </c>
      <c r="C52" s="5">
        <v>54</v>
      </c>
      <c r="D52" s="5">
        <v>76</v>
      </c>
      <c r="E52" s="5">
        <v>87</v>
      </c>
      <c r="F52" s="5">
        <v>98</v>
      </c>
      <c r="G52" s="5">
        <v>90</v>
      </c>
      <c r="H52" s="5">
        <v>87</v>
      </c>
      <c r="I52" s="5">
        <v>65</v>
      </c>
      <c r="J52" s="5">
        <v>65</v>
      </c>
      <c r="K52" s="5">
        <v>54</v>
      </c>
      <c r="L52" s="5">
        <v>45</v>
      </c>
      <c r="M52" s="5">
        <v>786</v>
      </c>
      <c r="N52" s="5">
        <v>78.599999999999994</v>
      </c>
    </row>
    <row r="53" spans="1:14" x14ac:dyDescent="0.25">
      <c r="A53" s="7" t="s">
        <v>66</v>
      </c>
      <c r="B53" s="5">
        <v>67</v>
      </c>
      <c r="C53" s="5">
        <v>80</v>
      </c>
      <c r="D53" s="5">
        <v>78</v>
      </c>
      <c r="E53" s="5">
        <v>68</v>
      </c>
      <c r="F53" s="5">
        <v>71</v>
      </c>
      <c r="G53" s="5">
        <v>61</v>
      </c>
      <c r="H53" s="5">
        <v>76</v>
      </c>
      <c r="I53" s="5">
        <v>67</v>
      </c>
      <c r="J53" s="5">
        <v>65</v>
      </c>
      <c r="K53" s="5">
        <v>66</v>
      </c>
      <c r="L53" s="5">
        <v>75</v>
      </c>
      <c r="M53" s="5">
        <v>774</v>
      </c>
      <c r="N53" s="5">
        <v>77.400000000000006</v>
      </c>
    </row>
    <row r="54" spans="1:14" x14ac:dyDescent="0.25">
      <c r="A54" s="7" t="s">
        <v>101</v>
      </c>
      <c r="B54" s="5">
        <v>3182</v>
      </c>
      <c r="C54" s="5">
        <v>3430</v>
      </c>
      <c r="D54" s="5">
        <v>3678</v>
      </c>
      <c r="E54" s="5">
        <v>3384</v>
      </c>
      <c r="F54" s="5">
        <v>3452</v>
      </c>
      <c r="G54" s="5">
        <v>3365</v>
      </c>
      <c r="H54" s="5">
        <v>3331</v>
      </c>
      <c r="I54" s="5">
        <v>3273</v>
      </c>
      <c r="J54" s="5">
        <v>3611</v>
      </c>
      <c r="K54" s="5">
        <v>3528</v>
      </c>
      <c r="L54" s="5">
        <v>3480</v>
      </c>
      <c r="M54" s="5">
        <v>37714</v>
      </c>
      <c r="N54" s="5">
        <v>3771.4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6:K51"/>
  <sheetViews>
    <sheetView tabSelected="1" topLeftCell="A17" workbookViewId="0">
      <selection activeCell="A26" sqref="A26"/>
    </sheetView>
  </sheetViews>
  <sheetFormatPr defaultRowHeight="15" x14ac:dyDescent="0.25"/>
  <sheetData>
    <row r="16" spans="1:11" x14ac:dyDescent="0.25">
      <c r="A16" t="s">
        <v>115</v>
      </c>
      <c r="K16" t="s">
        <v>116</v>
      </c>
    </row>
    <row r="33" spans="1:11" x14ac:dyDescent="0.25">
      <c r="A33" t="s">
        <v>117</v>
      </c>
      <c r="K33" t="s">
        <v>118</v>
      </c>
    </row>
    <row r="51" spans="1:11" x14ac:dyDescent="0.25">
      <c r="A51" t="s">
        <v>119</v>
      </c>
      <c r="K51" t="s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1"/>
  <sheetViews>
    <sheetView topLeftCell="B42" workbookViewId="0">
      <selection activeCell="C57" sqref="C57:M57"/>
    </sheetView>
  </sheetViews>
  <sheetFormatPr defaultRowHeight="15" x14ac:dyDescent="0.25"/>
  <cols>
    <col min="1" max="1" width="14" bestFit="1" customWidth="1"/>
    <col min="2" max="2" width="16.7109375" bestFit="1" customWidth="1"/>
    <col min="4" max="4" width="10.85546875" bestFit="1" customWidth="1"/>
    <col min="5" max="5" width="12.5703125" bestFit="1" customWidth="1"/>
    <col min="6" max="6" width="11.28515625" bestFit="1" customWidth="1"/>
    <col min="7" max="7" width="13.42578125" bestFit="1" customWidth="1"/>
    <col min="8" max="8" width="10.5703125" bestFit="1" customWidth="1"/>
    <col min="9" max="9" width="8.85546875" bestFit="1" customWidth="1"/>
    <col min="10" max="10" width="10.85546875" bestFit="1" customWidth="1"/>
    <col min="11" max="11" width="13.42578125" bestFit="1" customWidth="1"/>
    <col min="12" max="12" width="13.42578125" customWidth="1"/>
    <col min="13" max="13" width="14.57031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97</v>
      </c>
      <c r="M1" s="1" t="s">
        <v>11</v>
      </c>
      <c r="N1" s="1" t="s">
        <v>12</v>
      </c>
      <c r="O1" s="2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25">
      <c r="A2" s="3" t="s">
        <v>98</v>
      </c>
      <c r="B2" t="s">
        <v>18</v>
      </c>
      <c r="C2">
        <v>70</v>
      </c>
      <c r="D2">
        <v>68</v>
      </c>
      <c r="E2">
        <v>89</v>
      </c>
      <c r="F2">
        <v>59</v>
      </c>
      <c r="G2">
        <v>60</v>
      </c>
      <c r="H2">
        <v>70</v>
      </c>
      <c r="I2">
        <v>60</v>
      </c>
      <c r="J2">
        <v>80</v>
      </c>
      <c r="K2">
        <v>75</v>
      </c>
      <c r="L2">
        <v>80</v>
      </c>
      <c r="M2">
        <v>69</v>
      </c>
      <c r="N2">
        <f>SUM(C2:M2)</f>
        <v>780</v>
      </c>
      <c r="O2" s="4">
        <f>AVERAGE(N2/10)</f>
        <v>78</v>
      </c>
      <c r="P2">
        <f>MODE(C2:M2)</f>
        <v>70</v>
      </c>
      <c r="Q2">
        <f>MAX(C2:M2)</f>
        <v>89</v>
      </c>
      <c r="R2">
        <f>MIN(C2:M2)</f>
        <v>59</v>
      </c>
      <c r="S2" t="str">
        <f t="shared" ref="S2:S51" si="0">IF(N2&gt;=650,"PASS","FAIL")</f>
        <v>PASS</v>
      </c>
    </row>
    <row r="3" spans="1:19" x14ac:dyDescent="0.25">
      <c r="A3" t="s">
        <v>19</v>
      </c>
      <c r="B3" t="s">
        <v>20</v>
      </c>
      <c r="C3">
        <v>40</v>
      </c>
      <c r="D3">
        <v>65</v>
      </c>
      <c r="E3">
        <v>73</v>
      </c>
      <c r="F3">
        <v>50</v>
      </c>
      <c r="G3">
        <v>60</v>
      </c>
      <c r="H3">
        <v>80</v>
      </c>
      <c r="I3">
        <v>65</v>
      </c>
      <c r="J3">
        <v>54</v>
      </c>
      <c r="K3">
        <v>73</v>
      </c>
      <c r="L3">
        <v>85</v>
      </c>
      <c r="M3">
        <v>78</v>
      </c>
      <c r="N3">
        <f t="shared" ref="N3:N51" si="1">SUM(C3:M3)</f>
        <v>723</v>
      </c>
      <c r="O3" s="4">
        <f t="shared" ref="O3:O51" si="2">AVERAGE(N3/10)</f>
        <v>72.3</v>
      </c>
      <c r="P3">
        <f t="shared" ref="P3:P51" si="3">MODE(C3:M3)</f>
        <v>65</v>
      </c>
      <c r="Q3">
        <f t="shared" ref="Q3:Q51" si="4">MAX(C3:M3)</f>
        <v>85</v>
      </c>
      <c r="R3">
        <f t="shared" ref="R3:R51" si="5">MIN(C3:M3)</f>
        <v>40</v>
      </c>
      <c r="S3" t="str">
        <f t="shared" si="0"/>
        <v>PASS</v>
      </c>
    </row>
    <row r="4" spans="1:19" x14ac:dyDescent="0.25">
      <c r="A4" t="s">
        <v>21</v>
      </c>
      <c r="B4" t="s">
        <v>22</v>
      </c>
      <c r="C4">
        <v>54</v>
      </c>
      <c r="D4">
        <v>76</v>
      </c>
      <c r="E4">
        <v>85</v>
      </c>
      <c r="F4">
        <v>78</v>
      </c>
      <c r="G4">
        <v>54</v>
      </c>
      <c r="H4">
        <v>34</v>
      </c>
      <c r="I4">
        <v>67</v>
      </c>
      <c r="J4">
        <v>80</v>
      </c>
      <c r="K4">
        <v>65</v>
      </c>
      <c r="L4">
        <v>65</v>
      </c>
      <c r="M4">
        <v>45</v>
      </c>
      <c r="N4">
        <f t="shared" si="1"/>
        <v>703</v>
      </c>
      <c r="O4" s="4">
        <f t="shared" si="2"/>
        <v>70.3</v>
      </c>
      <c r="P4">
        <f t="shared" si="3"/>
        <v>54</v>
      </c>
      <c r="Q4">
        <f t="shared" si="4"/>
        <v>85</v>
      </c>
      <c r="R4">
        <f t="shared" si="5"/>
        <v>34</v>
      </c>
      <c r="S4" t="str">
        <f t="shared" si="0"/>
        <v>PASS</v>
      </c>
    </row>
    <row r="5" spans="1:19" x14ac:dyDescent="0.25">
      <c r="A5" t="s">
        <v>23</v>
      </c>
      <c r="B5" t="s">
        <v>24</v>
      </c>
      <c r="C5">
        <v>80</v>
      </c>
      <c r="D5">
        <v>56</v>
      </c>
      <c r="E5">
        <v>78</v>
      </c>
      <c r="F5">
        <v>80</v>
      </c>
      <c r="G5">
        <v>78</v>
      </c>
      <c r="H5">
        <v>89</v>
      </c>
      <c r="I5">
        <v>67</v>
      </c>
      <c r="J5">
        <v>53</v>
      </c>
      <c r="K5">
        <v>60</v>
      </c>
      <c r="L5">
        <v>78</v>
      </c>
      <c r="M5">
        <v>56</v>
      </c>
      <c r="N5">
        <f t="shared" si="1"/>
        <v>775</v>
      </c>
      <c r="O5" s="4">
        <f t="shared" si="2"/>
        <v>77.5</v>
      </c>
      <c r="P5">
        <f t="shared" si="3"/>
        <v>78</v>
      </c>
      <c r="Q5">
        <f t="shared" si="4"/>
        <v>89</v>
      </c>
      <c r="R5">
        <f t="shared" si="5"/>
        <v>53</v>
      </c>
      <c r="S5" t="str">
        <f t="shared" si="0"/>
        <v>PASS</v>
      </c>
    </row>
    <row r="6" spans="1:19" x14ac:dyDescent="0.25">
      <c r="A6" t="s">
        <v>25</v>
      </c>
      <c r="B6" t="s">
        <v>26</v>
      </c>
      <c r="C6">
        <v>54</v>
      </c>
      <c r="D6">
        <v>67</v>
      </c>
      <c r="E6">
        <v>89</v>
      </c>
      <c r="F6">
        <v>70</v>
      </c>
      <c r="G6">
        <v>60</v>
      </c>
      <c r="H6">
        <v>65</v>
      </c>
      <c r="I6">
        <v>54</v>
      </c>
      <c r="J6">
        <v>67</v>
      </c>
      <c r="K6">
        <v>80</v>
      </c>
      <c r="L6">
        <v>78</v>
      </c>
      <c r="M6">
        <v>65</v>
      </c>
      <c r="N6">
        <f t="shared" si="1"/>
        <v>749</v>
      </c>
      <c r="O6" s="4">
        <f t="shared" si="2"/>
        <v>74.900000000000006</v>
      </c>
      <c r="P6">
        <f t="shared" si="3"/>
        <v>54</v>
      </c>
      <c r="Q6">
        <f t="shared" si="4"/>
        <v>89</v>
      </c>
      <c r="R6">
        <f t="shared" si="5"/>
        <v>54</v>
      </c>
      <c r="S6" t="str">
        <f t="shared" si="0"/>
        <v>PASS</v>
      </c>
    </row>
    <row r="7" spans="1:19" x14ac:dyDescent="0.25">
      <c r="A7" t="s">
        <v>27</v>
      </c>
      <c r="B7" t="s">
        <v>20</v>
      </c>
      <c r="C7">
        <v>65</v>
      </c>
      <c r="D7">
        <v>78</v>
      </c>
      <c r="E7">
        <v>78</v>
      </c>
      <c r="F7">
        <v>80</v>
      </c>
      <c r="G7">
        <v>56</v>
      </c>
      <c r="H7">
        <v>45</v>
      </c>
      <c r="I7">
        <v>34</v>
      </c>
      <c r="J7">
        <v>56</v>
      </c>
      <c r="K7">
        <v>70</v>
      </c>
      <c r="L7">
        <v>56</v>
      </c>
      <c r="M7">
        <v>86</v>
      </c>
      <c r="N7">
        <f t="shared" si="1"/>
        <v>704</v>
      </c>
      <c r="O7" s="4">
        <f t="shared" si="2"/>
        <v>70.400000000000006</v>
      </c>
      <c r="P7">
        <f t="shared" si="3"/>
        <v>56</v>
      </c>
      <c r="Q7">
        <f t="shared" si="4"/>
        <v>86</v>
      </c>
      <c r="R7">
        <f t="shared" si="5"/>
        <v>34</v>
      </c>
      <c r="S7" t="str">
        <f t="shared" si="0"/>
        <v>PASS</v>
      </c>
    </row>
    <row r="8" spans="1:19" x14ac:dyDescent="0.25">
      <c r="A8" t="s">
        <v>21</v>
      </c>
      <c r="B8" t="s">
        <v>28</v>
      </c>
      <c r="C8">
        <v>80</v>
      </c>
      <c r="D8">
        <v>80</v>
      </c>
      <c r="E8">
        <v>89</v>
      </c>
      <c r="F8">
        <v>65</v>
      </c>
      <c r="G8">
        <v>75</v>
      </c>
      <c r="H8">
        <v>79</v>
      </c>
      <c r="I8">
        <v>70</v>
      </c>
      <c r="J8">
        <v>86</v>
      </c>
      <c r="K8">
        <v>74</v>
      </c>
      <c r="L8">
        <v>98</v>
      </c>
      <c r="M8">
        <v>65</v>
      </c>
      <c r="N8">
        <f t="shared" si="1"/>
        <v>861</v>
      </c>
      <c r="O8" s="4">
        <f t="shared" si="2"/>
        <v>86.1</v>
      </c>
      <c r="P8">
        <f t="shared" si="3"/>
        <v>80</v>
      </c>
      <c r="Q8">
        <f t="shared" si="4"/>
        <v>98</v>
      </c>
      <c r="R8">
        <f t="shared" si="5"/>
        <v>65</v>
      </c>
      <c r="S8" t="str">
        <f t="shared" si="0"/>
        <v>PASS</v>
      </c>
    </row>
    <row r="9" spans="1:19" x14ac:dyDescent="0.25">
      <c r="A9" t="s">
        <v>29</v>
      </c>
      <c r="B9" t="s">
        <v>30</v>
      </c>
      <c r="C9">
        <v>65</v>
      </c>
      <c r="D9">
        <v>78</v>
      </c>
      <c r="E9">
        <v>98</v>
      </c>
      <c r="F9">
        <v>80</v>
      </c>
      <c r="G9">
        <v>54</v>
      </c>
      <c r="H9">
        <v>43</v>
      </c>
      <c r="I9">
        <v>44</v>
      </c>
      <c r="J9">
        <v>67</v>
      </c>
      <c r="K9">
        <v>65</v>
      </c>
      <c r="L9">
        <v>97</v>
      </c>
      <c r="M9">
        <v>45</v>
      </c>
      <c r="N9">
        <f t="shared" si="1"/>
        <v>736</v>
      </c>
      <c r="O9" s="4">
        <f t="shared" si="2"/>
        <v>73.599999999999994</v>
      </c>
      <c r="P9">
        <f t="shared" si="3"/>
        <v>65</v>
      </c>
      <c r="Q9">
        <f t="shared" si="4"/>
        <v>98</v>
      </c>
      <c r="R9">
        <f t="shared" si="5"/>
        <v>43</v>
      </c>
      <c r="S9" t="str">
        <f t="shared" si="0"/>
        <v>PASS</v>
      </c>
    </row>
    <row r="10" spans="1:19" x14ac:dyDescent="0.25">
      <c r="A10" t="s">
        <v>31</v>
      </c>
      <c r="B10" t="s">
        <v>32</v>
      </c>
      <c r="C10">
        <v>65</v>
      </c>
      <c r="D10">
        <v>74</v>
      </c>
      <c r="E10">
        <v>65</v>
      </c>
      <c r="F10">
        <v>54</v>
      </c>
      <c r="G10">
        <v>78</v>
      </c>
      <c r="H10">
        <v>90</v>
      </c>
      <c r="I10">
        <v>65</v>
      </c>
      <c r="J10">
        <v>45</v>
      </c>
      <c r="K10">
        <v>65</v>
      </c>
      <c r="L10">
        <v>65</v>
      </c>
      <c r="M10">
        <v>54</v>
      </c>
      <c r="N10">
        <f t="shared" si="1"/>
        <v>720</v>
      </c>
      <c r="O10" s="4">
        <f t="shared" si="2"/>
        <v>72</v>
      </c>
      <c r="P10">
        <f t="shared" si="3"/>
        <v>65</v>
      </c>
      <c r="Q10">
        <f t="shared" si="4"/>
        <v>90</v>
      </c>
      <c r="R10">
        <f t="shared" si="5"/>
        <v>45</v>
      </c>
      <c r="S10" t="str">
        <f t="shared" si="0"/>
        <v>PASS</v>
      </c>
    </row>
    <row r="11" spans="1:19" x14ac:dyDescent="0.25">
      <c r="A11" t="s">
        <v>30</v>
      </c>
      <c r="B11" t="s">
        <v>33</v>
      </c>
      <c r="C11">
        <v>54</v>
      </c>
      <c r="D11">
        <v>76</v>
      </c>
      <c r="E11">
        <v>89</v>
      </c>
      <c r="F11">
        <v>80</v>
      </c>
      <c r="G11">
        <v>76</v>
      </c>
      <c r="H11">
        <v>90</v>
      </c>
      <c r="I11">
        <v>65</v>
      </c>
      <c r="J11">
        <v>54</v>
      </c>
      <c r="K11">
        <v>65</v>
      </c>
      <c r="L11">
        <v>78</v>
      </c>
      <c r="M11">
        <v>65</v>
      </c>
      <c r="N11">
        <f t="shared" si="1"/>
        <v>792</v>
      </c>
      <c r="O11" s="4">
        <f t="shared" si="2"/>
        <v>79.2</v>
      </c>
      <c r="P11">
        <f t="shared" si="3"/>
        <v>65</v>
      </c>
      <c r="Q11">
        <f t="shared" si="4"/>
        <v>90</v>
      </c>
      <c r="R11">
        <f t="shared" si="5"/>
        <v>54</v>
      </c>
      <c r="S11" t="str">
        <f t="shared" si="0"/>
        <v>PASS</v>
      </c>
    </row>
    <row r="12" spans="1:19" x14ac:dyDescent="0.25">
      <c r="A12" t="s">
        <v>34</v>
      </c>
      <c r="B12" t="s">
        <v>35</v>
      </c>
      <c r="C12">
        <v>55</v>
      </c>
      <c r="D12">
        <v>67</v>
      </c>
      <c r="E12">
        <v>89</v>
      </c>
      <c r="F12">
        <v>76</v>
      </c>
      <c r="G12">
        <v>75</v>
      </c>
      <c r="H12">
        <v>54</v>
      </c>
      <c r="I12">
        <v>34</v>
      </c>
      <c r="J12">
        <v>54</v>
      </c>
      <c r="K12">
        <v>56</v>
      </c>
      <c r="L12">
        <v>79</v>
      </c>
      <c r="M12">
        <v>78</v>
      </c>
      <c r="N12">
        <f t="shared" si="1"/>
        <v>717</v>
      </c>
      <c r="O12" s="4">
        <f t="shared" si="2"/>
        <v>71.7</v>
      </c>
      <c r="P12">
        <f t="shared" si="3"/>
        <v>54</v>
      </c>
      <c r="Q12">
        <f t="shared" si="4"/>
        <v>89</v>
      </c>
      <c r="R12">
        <f t="shared" si="5"/>
        <v>34</v>
      </c>
      <c r="S12" t="str">
        <f t="shared" si="0"/>
        <v>PASS</v>
      </c>
    </row>
    <row r="13" spans="1:19" x14ac:dyDescent="0.25">
      <c r="A13" t="s">
        <v>36</v>
      </c>
      <c r="B13" t="s">
        <v>20</v>
      </c>
      <c r="C13">
        <v>65</v>
      </c>
      <c r="D13">
        <v>54</v>
      </c>
      <c r="E13">
        <v>76</v>
      </c>
      <c r="F13">
        <v>87</v>
      </c>
      <c r="G13">
        <v>98</v>
      </c>
      <c r="H13">
        <v>90</v>
      </c>
      <c r="I13">
        <v>87</v>
      </c>
      <c r="J13">
        <v>65</v>
      </c>
      <c r="K13">
        <v>65</v>
      </c>
      <c r="L13">
        <v>54</v>
      </c>
      <c r="M13">
        <v>45</v>
      </c>
      <c r="N13">
        <f t="shared" si="1"/>
        <v>786</v>
      </c>
      <c r="O13" s="4">
        <f t="shared" si="2"/>
        <v>78.599999999999994</v>
      </c>
      <c r="P13">
        <f t="shared" si="3"/>
        <v>65</v>
      </c>
      <c r="Q13">
        <f t="shared" si="4"/>
        <v>98</v>
      </c>
      <c r="R13">
        <f t="shared" si="5"/>
        <v>45</v>
      </c>
      <c r="S13" t="str">
        <f t="shared" si="0"/>
        <v>PASS</v>
      </c>
    </row>
    <row r="14" spans="1:19" x14ac:dyDescent="0.25">
      <c r="A14" t="s">
        <v>37</v>
      </c>
      <c r="B14" t="s">
        <v>24</v>
      </c>
      <c r="C14">
        <v>54</v>
      </c>
      <c r="D14">
        <v>67</v>
      </c>
      <c r="E14">
        <v>89</v>
      </c>
      <c r="F14">
        <v>90</v>
      </c>
      <c r="G14">
        <v>65</v>
      </c>
      <c r="H14">
        <v>45</v>
      </c>
      <c r="I14">
        <v>65</v>
      </c>
      <c r="J14">
        <v>78</v>
      </c>
      <c r="K14">
        <v>98</v>
      </c>
      <c r="L14">
        <v>60</v>
      </c>
      <c r="M14">
        <v>78</v>
      </c>
      <c r="N14">
        <f t="shared" si="1"/>
        <v>789</v>
      </c>
      <c r="O14" s="4">
        <f t="shared" si="2"/>
        <v>78.900000000000006</v>
      </c>
      <c r="P14">
        <f t="shared" si="3"/>
        <v>65</v>
      </c>
      <c r="Q14">
        <f t="shared" si="4"/>
        <v>98</v>
      </c>
      <c r="R14">
        <f t="shared" si="5"/>
        <v>45</v>
      </c>
      <c r="S14" t="str">
        <f t="shared" si="0"/>
        <v>PASS</v>
      </c>
    </row>
    <row r="15" spans="1:19" x14ac:dyDescent="0.25">
      <c r="A15" t="s">
        <v>38</v>
      </c>
      <c r="B15" t="s">
        <v>39</v>
      </c>
      <c r="C15">
        <v>45</v>
      </c>
      <c r="D15">
        <v>78</v>
      </c>
      <c r="E15">
        <v>90</v>
      </c>
      <c r="F15">
        <v>54</v>
      </c>
      <c r="G15">
        <v>74</v>
      </c>
      <c r="H15">
        <v>76</v>
      </c>
      <c r="I15">
        <v>65</v>
      </c>
      <c r="J15">
        <v>78</v>
      </c>
      <c r="K15">
        <v>98</v>
      </c>
      <c r="L15">
        <v>76</v>
      </c>
      <c r="M15">
        <v>65</v>
      </c>
      <c r="N15">
        <f t="shared" si="1"/>
        <v>799</v>
      </c>
      <c r="O15" s="4">
        <f t="shared" si="2"/>
        <v>79.900000000000006</v>
      </c>
      <c r="P15">
        <f t="shared" si="3"/>
        <v>78</v>
      </c>
      <c r="Q15">
        <f t="shared" si="4"/>
        <v>98</v>
      </c>
      <c r="R15">
        <f t="shared" si="5"/>
        <v>45</v>
      </c>
      <c r="S15" t="str">
        <f t="shared" si="0"/>
        <v>PASS</v>
      </c>
    </row>
    <row r="16" spans="1:19" x14ac:dyDescent="0.25">
      <c r="A16" t="s">
        <v>40</v>
      </c>
      <c r="B16" t="s">
        <v>41</v>
      </c>
      <c r="C16">
        <v>70</v>
      </c>
      <c r="D16">
        <v>76</v>
      </c>
      <c r="E16">
        <v>75</v>
      </c>
      <c r="F16">
        <v>65</v>
      </c>
      <c r="G16">
        <v>54</v>
      </c>
      <c r="H16">
        <v>80</v>
      </c>
      <c r="I16">
        <v>76</v>
      </c>
      <c r="J16">
        <v>65</v>
      </c>
      <c r="K16">
        <v>76</v>
      </c>
      <c r="L16">
        <v>89</v>
      </c>
      <c r="M16">
        <v>65</v>
      </c>
      <c r="N16">
        <f t="shared" si="1"/>
        <v>791</v>
      </c>
      <c r="O16" s="4">
        <f t="shared" si="2"/>
        <v>79.099999999999994</v>
      </c>
      <c r="P16">
        <f t="shared" si="3"/>
        <v>76</v>
      </c>
      <c r="Q16">
        <f t="shared" si="4"/>
        <v>89</v>
      </c>
      <c r="R16">
        <f t="shared" si="5"/>
        <v>54</v>
      </c>
      <c r="S16" t="str">
        <f t="shared" si="0"/>
        <v>PASS</v>
      </c>
    </row>
    <row r="17" spans="1:19" x14ac:dyDescent="0.25">
      <c r="A17" t="s">
        <v>42</v>
      </c>
      <c r="B17" t="s">
        <v>43</v>
      </c>
      <c r="C17">
        <v>54</v>
      </c>
      <c r="D17">
        <v>76</v>
      </c>
      <c r="E17">
        <v>87</v>
      </c>
      <c r="F17">
        <v>90</v>
      </c>
      <c r="G17">
        <v>76</v>
      </c>
      <c r="H17">
        <v>65</v>
      </c>
      <c r="I17">
        <v>54</v>
      </c>
      <c r="J17">
        <v>67</v>
      </c>
      <c r="K17">
        <v>87</v>
      </c>
      <c r="L17">
        <v>76</v>
      </c>
      <c r="M17">
        <v>89</v>
      </c>
      <c r="N17">
        <f t="shared" si="1"/>
        <v>821</v>
      </c>
      <c r="O17" s="4">
        <f t="shared" si="2"/>
        <v>82.1</v>
      </c>
      <c r="P17">
        <f t="shared" si="3"/>
        <v>76</v>
      </c>
      <c r="Q17">
        <f t="shared" si="4"/>
        <v>90</v>
      </c>
      <c r="R17">
        <f t="shared" si="5"/>
        <v>54</v>
      </c>
      <c r="S17" t="str">
        <f t="shared" si="0"/>
        <v>PASS</v>
      </c>
    </row>
    <row r="18" spans="1:19" x14ac:dyDescent="0.25">
      <c r="A18" t="s">
        <v>44</v>
      </c>
      <c r="B18" t="s">
        <v>45</v>
      </c>
      <c r="C18">
        <v>43</v>
      </c>
      <c r="D18">
        <v>39</v>
      </c>
      <c r="E18">
        <v>40</v>
      </c>
      <c r="F18">
        <v>59</v>
      </c>
      <c r="G18">
        <v>76</v>
      </c>
      <c r="H18">
        <v>89</v>
      </c>
      <c r="I18">
        <v>76</v>
      </c>
      <c r="J18">
        <v>65</v>
      </c>
      <c r="K18">
        <v>89</v>
      </c>
      <c r="L18">
        <v>56</v>
      </c>
      <c r="M18">
        <v>54</v>
      </c>
      <c r="N18">
        <f t="shared" si="1"/>
        <v>686</v>
      </c>
      <c r="O18" s="4">
        <f t="shared" si="2"/>
        <v>68.599999999999994</v>
      </c>
      <c r="P18">
        <f t="shared" si="3"/>
        <v>76</v>
      </c>
      <c r="Q18">
        <f t="shared" si="4"/>
        <v>89</v>
      </c>
      <c r="R18">
        <f t="shared" si="5"/>
        <v>39</v>
      </c>
      <c r="S18" t="str">
        <f t="shared" si="0"/>
        <v>PASS</v>
      </c>
    </row>
    <row r="19" spans="1:19" x14ac:dyDescent="0.25">
      <c r="A19" t="s">
        <v>46</v>
      </c>
      <c r="B19" t="s">
        <v>47</v>
      </c>
      <c r="C19">
        <v>80</v>
      </c>
      <c r="D19">
        <v>56</v>
      </c>
      <c r="E19">
        <v>78</v>
      </c>
      <c r="F19">
        <v>98</v>
      </c>
      <c r="G19">
        <v>76</v>
      </c>
      <c r="H19">
        <v>87</v>
      </c>
      <c r="I19">
        <v>54</v>
      </c>
      <c r="J19">
        <v>35</v>
      </c>
      <c r="K19">
        <v>39</v>
      </c>
      <c r="L19">
        <v>70</v>
      </c>
      <c r="M19">
        <v>81</v>
      </c>
      <c r="N19">
        <f t="shared" si="1"/>
        <v>754</v>
      </c>
      <c r="O19" s="4">
        <f t="shared" si="2"/>
        <v>75.400000000000006</v>
      </c>
      <c r="P19" t="e">
        <f t="shared" si="3"/>
        <v>#N/A</v>
      </c>
      <c r="Q19">
        <f t="shared" si="4"/>
        <v>98</v>
      </c>
      <c r="R19">
        <f t="shared" si="5"/>
        <v>35</v>
      </c>
      <c r="S19" t="str">
        <f t="shared" si="0"/>
        <v>PASS</v>
      </c>
    </row>
    <row r="20" spans="1:19" x14ac:dyDescent="0.25">
      <c r="A20" t="s">
        <v>48</v>
      </c>
      <c r="B20" t="s">
        <v>39</v>
      </c>
      <c r="C20">
        <v>37</v>
      </c>
      <c r="D20">
        <v>76</v>
      </c>
      <c r="E20">
        <v>56</v>
      </c>
      <c r="F20">
        <v>94</v>
      </c>
      <c r="G20">
        <v>70</v>
      </c>
      <c r="H20">
        <v>65</v>
      </c>
      <c r="I20">
        <v>54</v>
      </c>
      <c r="J20">
        <v>76</v>
      </c>
      <c r="K20">
        <v>89</v>
      </c>
      <c r="L20">
        <v>67</v>
      </c>
      <c r="M20">
        <v>80</v>
      </c>
      <c r="N20">
        <f t="shared" si="1"/>
        <v>764</v>
      </c>
      <c r="O20" s="4">
        <f t="shared" si="2"/>
        <v>76.400000000000006</v>
      </c>
      <c r="P20">
        <f t="shared" si="3"/>
        <v>76</v>
      </c>
      <c r="Q20">
        <f t="shared" si="4"/>
        <v>94</v>
      </c>
      <c r="R20">
        <f t="shared" si="5"/>
        <v>37</v>
      </c>
      <c r="S20" t="str">
        <f t="shared" si="0"/>
        <v>PASS</v>
      </c>
    </row>
    <row r="21" spans="1:19" x14ac:dyDescent="0.25">
      <c r="A21" t="s">
        <v>49</v>
      </c>
      <c r="B21" t="s">
        <v>26</v>
      </c>
      <c r="C21">
        <v>90</v>
      </c>
      <c r="D21">
        <v>56</v>
      </c>
      <c r="E21">
        <v>76</v>
      </c>
      <c r="F21">
        <v>89</v>
      </c>
      <c r="G21">
        <v>65</v>
      </c>
      <c r="H21">
        <v>56</v>
      </c>
      <c r="I21">
        <v>78</v>
      </c>
      <c r="J21">
        <v>89</v>
      </c>
      <c r="K21">
        <v>65</v>
      </c>
      <c r="L21">
        <v>80</v>
      </c>
      <c r="M21">
        <v>54</v>
      </c>
      <c r="N21">
        <f t="shared" si="1"/>
        <v>798</v>
      </c>
      <c r="O21" s="4">
        <f t="shared" si="2"/>
        <v>79.8</v>
      </c>
      <c r="P21">
        <f t="shared" si="3"/>
        <v>56</v>
      </c>
      <c r="Q21">
        <f t="shared" si="4"/>
        <v>90</v>
      </c>
      <c r="R21">
        <f t="shared" si="5"/>
        <v>54</v>
      </c>
      <c r="S21" t="str">
        <f t="shared" si="0"/>
        <v>PASS</v>
      </c>
    </row>
    <row r="22" spans="1:19" x14ac:dyDescent="0.25">
      <c r="A22" t="s">
        <v>50</v>
      </c>
      <c r="B22" t="s">
        <v>24</v>
      </c>
      <c r="C22">
        <v>56</v>
      </c>
      <c r="D22">
        <v>76</v>
      </c>
      <c r="E22">
        <v>89</v>
      </c>
      <c r="F22">
        <v>90</v>
      </c>
      <c r="G22">
        <v>76</v>
      </c>
      <c r="H22">
        <v>75</v>
      </c>
      <c r="I22">
        <v>76</v>
      </c>
      <c r="J22">
        <v>79</v>
      </c>
      <c r="K22">
        <v>90</v>
      </c>
      <c r="L22">
        <v>65</v>
      </c>
      <c r="M22">
        <v>76</v>
      </c>
      <c r="N22">
        <f t="shared" si="1"/>
        <v>848</v>
      </c>
      <c r="O22" s="4">
        <f t="shared" si="2"/>
        <v>84.8</v>
      </c>
      <c r="P22">
        <f t="shared" si="3"/>
        <v>76</v>
      </c>
      <c r="Q22">
        <f t="shared" si="4"/>
        <v>90</v>
      </c>
      <c r="R22">
        <f t="shared" si="5"/>
        <v>56</v>
      </c>
      <c r="S22" t="str">
        <f t="shared" si="0"/>
        <v>PASS</v>
      </c>
    </row>
    <row r="23" spans="1:19" x14ac:dyDescent="0.25">
      <c r="A23" t="s">
        <v>51</v>
      </c>
      <c r="B23" t="s">
        <v>52</v>
      </c>
      <c r="C23">
        <v>54</v>
      </c>
      <c r="D23">
        <v>67</v>
      </c>
      <c r="E23">
        <v>89</v>
      </c>
      <c r="F23">
        <v>76</v>
      </c>
      <c r="G23">
        <v>65</v>
      </c>
      <c r="H23">
        <v>78</v>
      </c>
      <c r="I23">
        <v>65</v>
      </c>
      <c r="J23">
        <v>87</v>
      </c>
      <c r="K23">
        <v>87</v>
      </c>
      <c r="L23">
        <v>56</v>
      </c>
      <c r="M23">
        <v>87</v>
      </c>
      <c r="N23">
        <f t="shared" si="1"/>
        <v>811</v>
      </c>
      <c r="O23" s="4">
        <f t="shared" si="2"/>
        <v>81.099999999999994</v>
      </c>
      <c r="P23">
        <f t="shared" si="3"/>
        <v>87</v>
      </c>
      <c r="Q23">
        <f t="shared" si="4"/>
        <v>89</v>
      </c>
      <c r="R23">
        <f t="shared" si="5"/>
        <v>54</v>
      </c>
      <c r="S23" t="str">
        <f t="shared" si="0"/>
        <v>PASS</v>
      </c>
    </row>
    <row r="24" spans="1:19" x14ac:dyDescent="0.25">
      <c r="A24" t="s">
        <v>53</v>
      </c>
      <c r="B24" t="s">
        <v>54</v>
      </c>
      <c r="C24">
        <v>43</v>
      </c>
      <c r="D24">
        <v>56</v>
      </c>
      <c r="E24">
        <v>76</v>
      </c>
      <c r="F24">
        <v>89</v>
      </c>
      <c r="G24">
        <v>90</v>
      </c>
      <c r="H24">
        <v>76</v>
      </c>
      <c r="I24">
        <v>54</v>
      </c>
      <c r="J24">
        <v>45</v>
      </c>
      <c r="K24">
        <v>67</v>
      </c>
      <c r="L24">
        <v>87</v>
      </c>
      <c r="M24">
        <v>87</v>
      </c>
      <c r="N24">
        <f t="shared" si="1"/>
        <v>770</v>
      </c>
      <c r="O24" s="4">
        <f t="shared" si="2"/>
        <v>77</v>
      </c>
      <c r="P24">
        <f t="shared" si="3"/>
        <v>76</v>
      </c>
      <c r="Q24">
        <f t="shared" si="4"/>
        <v>90</v>
      </c>
      <c r="R24">
        <f t="shared" si="5"/>
        <v>43</v>
      </c>
      <c r="S24" t="str">
        <f t="shared" si="0"/>
        <v>PASS</v>
      </c>
    </row>
    <row r="25" spans="1:19" x14ac:dyDescent="0.25">
      <c r="A25" t="s">
        <v>55</v>
      </c>
      <c r="B25" t="s">
        <v>56</v>
      </c>
      <c r="C25">
        <v>80</v>
      </c>
      <c r="D25">
        <v>67</v>
      </c>
      <c r="E25">
        <v>65</v>
      </c>
      <c r="F25">
        <v>65</v>
      </c>
      <c r="G25">
        <v>66</v>
      </c>
      <c r="H25">
        <v>60</v>
      </c>
      <c r="I25">
        <v>79</v>
      </c>
      <c r="J25">
        <v>75</v>
      </c>
      <c r="K25">
        <v>45</v>
      </c>
      <c r="L25">
        <v>67</v>
      </c>
      <c r="M25">
        <v>39</v>
      </c>
      <c r="N25">
        <f t="shared" si="1"/>
        <v>708</v>
      </c>
      <c r="O25" s="4">
        <f t="shared" si="2"/>
        <v>70.8</v>
      </c>
      <c r="P25">
        <f t="shared" si="3"/>
        <v>67</v>
      </c>
      <c r="Q25">
        <f t="shared" si="4"/>
        <v>80</v>
      </c>
      <c r="R25">
        <f t="shared" si="5"/>
        <v>39</v>
      </c>
      <c r="S25" t="str">
        <f t="shared" si="0"/>
        <v>PASS</v>
      </c>
    </row>
    <row r="26" spans="1:19" x14ac:dyDescent="0.25">
      <c r="A26" t="s">
        <v>57</v>
      </c>
      <c r="B26" t="s">
        <v>58</v>
      </c>
      <c r="C26">
        <v>78</v>
      </c>
      <c r="D26">
        <v>25</v>
      </c>
      <c r="E26">
        <v>45</v>
      </c>
      <c r="F26">
        <v>67</v>
      </c>
      <c r="G26">
        <v>78</v>
      </c>
      <c r="H26">
        <v>89</v>
      </c>
      <c r="I26">
        <v>67</v>
      </c>
      <c r="J26">
        <v>45</v>
      </c>
      <c r="K26">
        <v>56</v>
      </c>
      <c r="L26">
        <v>66</v>
      </c>
      <c r="M26">
        <v>78</v>
      </c>
      <c r="N26">
        <f t="shared" si="1"/>
        <v>694</v>
      </c>
      <c r="O26" s="4">
        <f t="shared" si="2"/>
        <v>69.400000000000006</v>
      </c>
      <c r="P26">
        <f t="shared" si="3"/>
        <v>78</v>
      </c>
      <c r="Q26">
        <f t="shared" si="4"/>
        <v>89</v>
      </c>
      <c r="R26">
        <f t="shared" si="5"/>
        <v>25</v>
      </c>
      <c r="S26" t="str">
        <f t="shared" si="0"/>
        <v>PASS</v>
      </c>
    </row>
    <row r="27" spans="1:19" x14ac:dyDescent="0.25">
      <c r="A27" t="s">
        <v>59</v>
      </c>
      <c r="B27" t="s">
        <v>60</v>
      </c>
      <c r="C27">
        <v>56</v>
      </c>
      <c r="D27">
        <v>78</v>
      </c>
      <c r="E27">
        <v>98</v>
      </c>
      <c r="F27">
        <v>67</v>
      </c>
      <c r="G27">
        <v>78</v>
      </c>
      <c r="H27">
        <v>76</v>
      </c>
      <c r="I27">
        <v>56</v>
      </c>
      <c r="J27">
        <v>54</v>
      </c>
      <c r="K27">
        <v>54</v>
      </c>
      <c r="L27">
        <v>76</v>
      </c>
      <c r="M27">
        <v>67</v>
      </c>
      <c r="N27">
        <f t="shared" si="1"/>
        <v>760</v>
      </c>
      <c r="O27" s="4">
        <f t="shared" si="2"/>
        <v>76</v>
      </c>
      <c r="P27">
        <f t="shared" si="3"/>
        <v>56</v>
      </c>
      <c r="Q27">
        <f t="shared" si="4"/>
        <v>98</v>
      </c>
      <c r="R27">
        <f t="shared" si="5"/>
        <v>54</v>
      </c>
      <c r="S27" t="str">
        <f t="shared" si="0"/>
        <v>PASS</v>
      </c>
    </row>
    <row r="28" spans="1:19" x14ac:dyDescent="0.25">
      <c r="A28" t="s">
        <v>61</v>
      </c>
      <c r="B28" t="s">
        <v>26</v>
      </c>
      <c r="C28">
        <v>67</v>
      </c>
      <c r="D28">
        <v>87</v>
      </c>
      <c r="E28">
        <v>90</v>
      </c>
      <c r="F28">
        <v>76</v>
      </c>
      <c r="G28">
        <v>54</v>
      </c>
      <c r="H28">
        <v>76</v>
      </c>
      <c r="I28">
        <v>98</v>
      </c>
      <c r="J28">
        <v>90</v>
      </c>
      <c r="K28">
        <v>76</v>
      </c>
      <c r="L28">
        <v>75</v>
      </c>
      <c r="M28">
        <v>56</v>
      </c>
      <c r="N28">
        <f t="shared" si="1"/>
        <v>845</v>
      </c>
      <c r="O28" s="4">
        <f t="shared" si="2"/>
        <v>84.5</v>
      </c>
      <c r="P28">
        <f t="shared" si="3"/>
        <v>76</v>
      </c>
      <c r="Q28">
        <f t="shared" si="4"/>
        <v>98</v>
      </c>
      <c r="R28">
        <f t="shared" si="5"/>
        <v>54</v>
      </c>
      <c r="S28" t="str">
        <f t="shared" si="0"/>
        <v>PASS</v>
      </c>
    </row>
    <row r="29" spans="1:19" x14ac:dyDescent="0.25">
      <c r="A29" t="s">
        <v>62</v>
      </c>
      <c r="B29" t="s">
        <v>21</v>
      </c>
      <c r="C29">
        <v>67</v>
      </c>
      <c r="D29">
        <v>75</v>
      </c>
      <c r="E29">
        <v>80</v>
      </c>
      <c r="F29">
        <v>60</v>
      </c>
      <c r="G29">
        <v>73</v>
      </c>
      <c r="H29">
        <v>65</v>
      </c>
      <c r="I29">
        <v>76</v>
      </c>
      <c r="J29">
        <v>67</v>
      </c>
      <c r="K29">
        <v>80</v>
      </c>
      <c r="L29">
        <v>73</v>
      </c>
      <c r="M29">
        <v>75</v>
      </c>
      <c r="N29">
        <f t="shared" si="1"/>
        <v>791</v>
      </c>
      <c r="O29" s="4">
        <f t="shared" si="2"/>
        <v>79.099999999999994</v>
      </c>
      <c r="P29">
        <f t="shared" si="3"/>
        <v>67</v>
      </c>
      <c r="Q29">
        <f t="shared" si="4"/>
        <v>80</v>
      </c>
      <c r="R29">
        <f t="shared" si="5"/>
        <v>60</v>
      </c>
      <c r="S29" t="str">
        <f t="shared" si="0"/>
        <v>PASS</v>
      </c>
    </row>
    <row r="30" spans="1:19" x14ac:dyDescent="0.25">
      <c r="A30" t="s">
        <v>63</v>
      </c>
      <c r="B30" t="s">
        <v>24</v>
      </c>
      <c r="C30">
        <v>67</v>
      </c>
      <c r="D30">
        <v>75</v>
      </c>
      <c r="E30">
        <v>80</v>
      </c>
      <c r="F30">
        <v>60</v>
      </c>
      <c r="G30">
        <v>73</v>
      </c>
      <c r="H30">
        <v>65</v>
      </c>
      <c r="I30">
        <v>76</v>
      </c>
      <c r="J30">
        <v>67</v>
      </c>
      <c r="K30">
        <v>80</v>
      </c>
      <c r="L30">
        <v>65</v>
      </c>
      <c r="M30">
        <v>75</v>
      </c>
      <c r="N30">
        <f t="shared" si="1"/>
        <v>783</v>
      </c>
      <c r="O30" s="4">
        <f t="shared" si="2"/>
        <v>78.3</v>
      </c>
      <c r="P30">
        <f t="shared" si="3"/>
        <v>67</v>
      </c>
      <c r="Q30">
        <f t="shared" si="4"/>
        <v>80</v>
      </c>
      <c r="R30">
        <f t="shared" si="5"/>
        <v>60</v>
      </c>
      <c r="S30" t="str">
        <f t="shared" si="0"/>
        <v>PASS</v>
      </c>
    </row>
    <row r="31" spans="1:19" x14ac:dyDescent="0.25">
      <c r="A31" t="s">
        <v>64</v>
      </c>
      <c r="B31" t="s">
        <v>65</v>
      </c>
      <c r="C31">
        <v>67</v>
      </c>
      <c r="D31">
        <v>75</v>
      </c>
      <c r="E31">
        <v>65</v>
      </c>
      <c r="F31">
        <v>71</v>
      </c>
      <c r="G31">
        <v>73</v>
      </c>
      <c r="H31">
        <v>65</v>
      </c>
      <c r="I31">
        <v>76</v>
      </c>
      <c r="J31">
        <v>67</v>
      </c>
      <c r="K31">
        <v>80</v>
      </c>
      <c r="L31">
        <v>87</v>
      </c>
      <c r="M31">
        <v>75</v>
      </c>
      <c r="N31">
        <f t="shared" si="1"/>
        <v>801</v>
      </c>
      <c r="O31" s="4">
        <f t="shared" si="2"/>
        <v>80.099999999999994</v>
      </c>
      <c r="P31">
        <f t="shared" si="3"/>
        <v>67</v>
      </c>
      <c r="Q31">
        <f t="shared" si="4"/>
        <v>87</v>
      </c>
      <c r="R31">
        <f t="shared" si="5"/>
        <v>65</v>
      </c>
      <c r="S31" t="str">
        <f t="shared" si="0"/>
        <v>PASS</v>
      </c>
    </row>
    <row r="32" spans="1:19" x14ac:dyDescent="0.25">
      <c r="A32" t="s">
        <v>66</v>
      </c>
      <c r="B32" t="s">
        <v>39</v>
      </c>
      <c r="C32">
        <v>67</v>
      </c>
      <c r="D32">
        <v>80</v>
      </c>
      <c r="E32">
        <v>78</v>
      </c>
      <c r="F32">
        <v>68</v>
      </c>
      <c r="G32">
        <v>71</v>
      </c>
      <c r="H32">
        <v>61</v>
      </c>
      <c r="I32">
        <v>76</v>
      </c>
      <c r="J32">
        <v>67</v>
      </c>
      <c r="K32">
        <v>65</v>
      </c>
      <c r="L32">
        <v>66</v>
      </c>
      <c r="M32">
        <v>75</v>
      </c>
      <c r="N32">
        <f t="shared" si="1"/>
        <v>774</v>
      </c>
      <c r="O32" s="4">
        <f t="shared" si="2"/>
        <v>77.400000000000006</v>
      </c>
      <c r="P32">
        <f t="shared" si="3"/>
        <v>67</v>
      </c>
      <c r="Q32">
        <f t="shared" si="4"/>
        <v>80</v>
      </c>
      <c r="R32">
        <f t="shared" si="5"/>
        <v>61</v>
      </c>
      <c r="S32" t="str">
        <f t="shared" si="0"/>
        <v>PASS</v>
      </c>
    </row>
    <row r="33" spans="1:19" x14ac:dyDescent="0.25">
      <c r="A33" t="s">
        <v>67</v>
      </c>
      <c r="B33" t="s">
        <v>45</v>
      </c>
      <c r="C33">
        <v>67</v>
      </c>
      <c r="D33">
        <v>56</v>
      </c>
      <c r="E33">
        <v>56</v>
      </c>
      <c r="F33">
        <v>71</v>
      </c>
      <c r="G33">
        <v>70</v>
      </c>
      <c r="H33">
        <v>65</v>
      </c>
      <c r="I33">
        <v>76</v>
      </c>
      <c r="J33">
        <v>76</v>
      </c>
      <c r="K33">
        <v>78</v>
      </c>
      <c r="L33">
        <v>65</v>
      </c>
      <c r="M33">
        <v>75</v>
      </c>
      <c r="N33">
        <f t="shared" si="1"/>
        <v>755</v>
      </c>
      <c r="O33" s="4">
        <f t="shared" si="2"/>
        <v>75.5</v>
      </c>
      <c r="P33">
        <f t="shared" si="3"/>
        <v>56</v>
      </c>
      <c r="Q33">
        <f t="shared" si="4"/>
        <v>78</v>
      </c>
      <c r="R33">
        <f t="shared" si="5"/>
        <v>56</v>
      </c>
      <c r="S33" t="str">
        <f t="shared" si="0"/>
        <v>PASS</v>
      </c>
    </row>
    <row r="34" spans="1:19" x14ac:dyDescent="0.25">
      <c r="A34" t="s">
        <v>68</v>
      </c>
      <c r="B34" t="s">
        <v>56</v>
      </c>
      <c r="C34">
        <v>67</v>
      </c>
      <c r="D34">
        <v>67</v>
      </c>
      <c r="E34">
        <v>71</v>
      </c>
      <c r="F34">
        <v>60</v>
      </c>
      <c r="G34">
        <v>67</v>
      </c>
      <c r="H34">
        <v>65</v>
      </c>
      <c r="I34">
        <v>56</v>
      </c>
      <c r="J34">
        <v>73</v>
      </c>
      <c r="K34">
        <v>67</v>
      </c>
      <c r="L34">
        <v>63</v>
      </c>
      <c r="M34">
        <v>75</v>
      </c>
      <c r="N34">
        <f t="shared" si="1"/>
        <v>731</v>
      </c>
      <c r="O34" s="4">
        <f t="shared" si="2"/>
        <v>73.099999999999994</v>
      </c>
      <c r="P34">
        <f t="shared" si="3"/>
        <v>67</v>
      </c>
      <c r="Q34">
        <f t="shared" si="4"/>
        <v>75</v>
      </c>
      <c r="R34">
        <f t="shared" si="5"/>
        <v>56</v>
      </c>
      <c r="S34" t="str">
        <f t="shared" si="0"/>
        <v>PASS</v>
      </c>
    </row>
    <row r="35" spans="1:19" x14ac:dyDescent="0.25">
      <c r="A35" t="s">
        <v>69</v>
      </c>
      <c r="B35" t="s">
        <v>26</v>
      </c>
      <c r="C35">
        <v>56</v>
      </c>
      <c r="D35">
        <v>56</v>
      </c>
      <c r="E35">
        <v>54</v>
      </c>
      <c r="F35">
        <v>60</v>
      </c>
      <c r="G35">
        <v>80</v>
      </c>
      <c r="H35">
        <v>45</v>
      </c>
      <c r="I35">
        <v>76</v>
      </c>
      <c r="J35">
        <v>66</v>
      </c>
      <c r="K35">
        <v>76</v>
      </c>
      <c r="L35">
        <v>64</v>
      </c>
      <c r="M35">
        <v>75</v>
      </c>
      <c r="N35">
        <f t="shared" si="1"/>
        <v>708</v>
      </c>
      <c r="O35" s="4">
        <f t="shared" si="2"/>
        <v>70.8</v>
      </c>
      <c r="P35">
        <f t="shared" si="3"/>
        <v>56</v>
      </c>
      <c r="Q35">
        <f t="shared" si="4"/>
        <v>80</v>
      </c>
      <c r="R35">
        <f t="shared" si="5"/>
        <v>45</v>
      </c>
      <c r="S35" t="str">
        <f t="shared" si="0"/>
        <v>PASS</v>
      </c>
    </row>
    <row r="36" spans="1:19" x14ac:dyDescent="0.25">
      <c r="A36" t="s">
        <v>70</v>
      </c>
      <c r="B36" t="s">
        <v>20</v>
      </c>
      <c r="C36">
        <v>76</v>
      </c>
      <c r="D36">
        <v>73</v>
      </c>
      <c r="E36">
        <v>80</v>
      </c>
      <c r="F36">
        <v>60</v>
      </c>
      <c r="G36">
        <v>73</v>
      </c>
      <c r="H36">
        <v>65</v>
      </c>
      <c r="I36">
        <v>76</v>
      </c>
      <c r="J36">
        <v>63</v>
      </c>
      <c r="K36">
        <v>54</v>
      </c>
      <c r="L36">
        <v>65</v>
      </c>
      <c r="M36">
        <v>75</v>
      </c>
      <c r="N36">
        <f t="shared" si="1"/>
        <v>760</v>
      </c>
      <c r="O36" s="4">
        <f t="shared" si="2"/>
        <v>76</v>
      </c>
      <c r="P36">
        <f t="shared" si="3"/>
        <v>76</v>
      </c>
      <c r="Q36">
        <f t="shared" si="4"/>
        <v>80</v>
      </c>
      <c r="R36">
        <f t="shared" si="5"/>
        <v>54</v>
      </c>
      <c r="S36" t="str">
        <f t="shared" si="0"/>
        <v>PASS</v>
      </c>
    </row>
    <row r="37" spans="1:19" x14ac:dyDescent="0.25">
      <c r="A37" t="s">
        <v>71</v>
      </c>
      <c r="B37" t="s">
        <v>28</v>
      </c>
      <c r="C37">
        <v>85</v>
      </c>
      <c r="D37">
        <v>61</v>
      </c>
      <c r="E37">
        <v>80</v>
      </c>
      <c r="F37">
        <v>65</v>
      </c>
      <c r="G37">
        <v>73</v>
      </c>
      <c r="H37">
        <v>56</v>
      </c>
      <c r="I37">
        <v>76</v>
      </c>
      <c r="J37">
        <v>65</v>
      </c>
      <c r="K37">
        <v>65</v>
      </c>
      <c r="L37">
        <v>76</v>
      </c>
      <c r="M37">
        <v>75</v>
      </c>
      <c r="N37">
        <f t="shared" si="1"/>
        <v>777</v>
      </c>
      <c r="O37" s="4">
        <f t="shared" si="2"/>
        <v>77.7</v>
      </c>
      <c r="P37">
        <f t="shared" si="3"/>
        <v>65</v>
      </c>
      <c r="Q37">
        <f t="shared" si="4"/>
        <v>85</v>
      </c>
      <c r="R37">
        <f t="shared" si="5"/>
        <v>56</v>
      </c>
      <c r="S37" t="str">
        <f t="shared" si="0"/>
        <v>PASS</v>
      </c>
    </row>
    <row r="38" spans="1:19" x14ac:dyDescent="0.25">
      <c r="A38" t="s">
        <v>72</v>
      </c>
      <c r="B38" t="s">
        <v>39</v>
      </c>
      <c r="C38">
        <v>67</v>
      </c>
      <c r="D38">
        <v>67</v>
      </c>
      <c r="E38">
        <v>80</v>
      </c>
      <c r="F38">
        <v>56</v>
      </c>
      <c r="G38">
        <v>73</v>
      </c>
      <c r="H38">
        <v>76</v>
      </c>
      <c r="I38">
        <v>50</v>
      </c>
      <c r="J38">
        <v>67</v>
      </c>
      <c r="K38">
        <v>76</v>
      </c>
      <c r="L38">
        <v>71</v>
      </c>
      <c r="M38">
        <v>75</v>
      </c>
      <c r="N38">
        <f t="shared" si="1"/>
        <v>758</v>
      </c>
      <c r="O38" s="4">
        <f t="shared" si="2"/>
        <v>75.8</v>
      </c>
      <c r="P38">
        <f t="shared" si="3"/>
        <v>67</v>
      </c>
      <c r="Q38">
        <f t="shared" si="4"/>
        <v>80</v>
      </c>
      <c r="R38">
        <f t="shared" si="5"/>
        <v>50</v>
      </c>
      <c r="S38" t="str">
        <f t="shared" si="0"/>
        <v>PASS</v>
      </c>
    </row>
    <row r="39" spans="1:19" x14ac:dyDescent="0.25">
      <c r="A39" t="s">
        <v>73</v>
      </c>
      <c r="B39" t="s">
        <v>74</v>
      </c>
      <c r="C39">
        <v>65</v>
      </c>
      <c r="D39">
        <v>78</v>
      </c>
      <c r="E39">
        <v>43</v>
      </c>
      <c r="F39">
        <v>71</v>
      </c>
      <c r="G39">
        <v>73</v>
      </c>
      <c r="H39">
        <v>65</v>
      </c>
      <c r="I39">
        <v>76</v>
      </c>
      <c r="J39">
        <v>67</v>
      </c>
      <c r="K39">
        <v>80</v>
      </c>
      <c r="L39">
        <v>81</v>
      </c>
      <c r="M39">
        <v>75</v>
      </c>
      <c r="N39">
        <f t="shared" si="1"/>
        <v>774</v>
      </c>
      <c r="O39" s="4">
        <f t="shared" si="2"/>
        <v>77.400000000000006</v>
      </c>
      <c r="P39">
        <f t="shared" si="3"/>
        <v>65</v>
      </c>
      <c r="Q39">
        <f t="shared" si="4"/>
        <v>81</v>
      </c>
      <c r="R39">
        <f t="shared" si="5"/>
        <v>43</v>
      </c>
      <c r="S39" t="str">
        <f t="shared" si="0"/>
        <v>PASS</v>
      </c>
    </row>
    <row r="40" spans="1:19" x14ac:dyDescent="0.25">
      <c r="A40" t="s">
        <v>75</v>
      </c>
      <c r="B40" t="s">
        <v>71</v>
      </c>
      <c r="C40">
        <v>67</v>
      </c>
      <c r="D40">
        <v>75</v>
      </c>
      <c r="E40">
        <v>35</v>
      </c>
      <c r="F40">
        <v>54</v>
      </c>
      <c r="G40">
        <v>65</v>
      </c>
      <c r="H40">
        <v>45</v>
      </c>
      <c r="I40">
        <v>76</v>
      </c>
      <c r="J40">
        <v>67</v>
      </c>
      <c r="K40">
        <v>80</v>
      </c>
      <c r="L40">
        <v>51</v>
      </c>
      <c r="M40">
        <v>71</v>
      </c>
      <c r="N40">
        <f t="shared" si="1"/>
        <v>686</v>
      </c>
      <c r="O40" s="4">
        <f t="shared" si="2"/>
        <v>68.599999999999994</v>
      </c>
      <c r="P40">
        <f t="shared" si="3"/>
        <v>67</v>
      </c>
      <c r="Q40">
        <f t="shared" si="4"/>
        <v>80</v>
      </c>
      <c r="R40">
        <f t="shared" si="5"/>
        <v>35</v>
      </c>
      <c r="S40" t="str">
        <f t="shared" si="0"/>
        <v>PASS</v>
      </c>
    </row>
    <row r="41" spans="1:19" x14ac:dyDescent="0.25">
      <c r="A41" t="s">
        <v>76</v>
      </c>
      <c r="B41" t="s">
        <v>45</v>
      </c>
      <c r="C41">
        <v>67</v>
      </c>
      <c r="D41">
        <v>75</v>
      </c>
      <c r="E41">
        <v>28</v>
      </c>
      <c r="F41">
        <v>60</v>
      </c>
      <c r="G41">
        <v>61</v>
      </c>
      <c r="H41">
        <v>70</v>
      </c>
      <c r="I41">
        <v>45</v>
      </c>
      <c r="J41">
        <v>67</v>
      </c>
      <c r="K41">
        <v>80</v>
      </c>
      <c r="L41">
        <v>49</v>
      </c>
      <c r="M41">
        <v>67</v>
      </c>
      <c r="N41">
        <f t="shared" si="1"/>
        <v>669</v>
      </c>
      <c r="O41" s="4">
        <f t="shared" si="2"/>
        <v>66.900000000000006</v>
      </c>
      <c r="P41">
        <f t="shared" si="3"/>
        <v>67</v>
      </c>
      <c r="Q41">
        <f t="shared" si="4"/>
        <v>80</v>
      </c>
      <c r="R41">
        <f t="shared" si="5"/>
        <v>28</v>
      </c>
      <c r="S41" t="str">
        <f t="shared" si="0"/>
        <v>PASS</v>
      </c>
    </row>
    <row r="42" spans="1:19" x14ac:dyDescent="0.25">
      <c r="A42" t="s">
        <v>77</v>
      </c>
      <c r="B42" t="s">
        <v>78</v>
      </c>
      <c r="C42">
        <v>45</v>
      </c>
      <c r="D42">
        <v>75</v>
      </c>
      <c r="E42">
        <v>56</v>
      </c>
      <c r="F42">
        <v>60</v>
      </c>
      <c r="G42">
        <v>56</v>
      </c>
      <c r="H42">
        <v>65</v>
      </c>
      <c r="I42">
        <v>76</v>
      </c>
      <c r="J42">
        <v>56</v>
      </c>
      <c r="K42">
        <v>80</v>
      </c>
      <c r="L42">
        <v>47</v>
      </c>
      <c r="M42">
        <v>81</v>
      </c>
      <c r="N42">
        <f t="shared" si="1"/>
        <v>697</v>
      </c>
      <c r="O42" s="4">
        <f t="shared" si="2"/>
        <v>69.7</v>
      </c>
      <c r="P42">
        <f t="shared" si="3"/>
        <v>56</v>
      </c>
      <c r="Q42">
        <f t="shared" si="4"/>
        <v>81</v>
      </c>
      <c r="R42">
        <f t="shared" si="5"/>
        <v>45</v>
      </c>
      <c r="S42" t="str">
        <f t="shared" si="0"/>
        <v>PASS</v>
      </c>
    </row>
    <row r="43" spans="1:19" x14ac:dyDescent="0.25">
      <c r="A43" t="s">
        <v>79</v>
      </c>
      <c r="B43" t="s">
        <v>80</v>
      </c>
      <c r="C43">
        <v>67</v>
      </c>
      <c r="D43">
        <v>66</v>
      </c>
      <c r="E43">
        <v>80</v>
      </c>
      <c r="F43">
        <v>60</v>
      </c>
      <c r="G43">
        <v>39</v>
      </c>
      <c r="H43">
        <v>64</v>
      </c>
      <c r="I43">
        <v>30</v>
      </c>
      <c r="J43">
        <v>56</v>
      </c>
      <c r="K43">
        <v>81</v>
      </c>
      <c r="L43">
        <v>48</v>
      </c>
      <c r="M43">
        <v>65</v>
      </c>
      <c r="N43">
        <f t="shared" si="1"/>
        <v>656</v>
      </c>
      <c r="O43" s="4">
        <f t="shared" si="2"/>
        <v>65.599999999999994</v>
      </c>
      <c r="P43" t="e">
        <f t="shared" si="3"/>
        <v>#N/A</v>
      </c>
      <c r="Q43">
        <f t="shared" si="4"/>
        <v>81</v>
      </c>
      <c r="R43">
        <f t="shared" si="5"/>
        <v>30</v>
      </c>
      <c r="S43" t="str">
        <f t="shared" si="0"/>
        <v>PASS</v>
      </c>
    </row>
    <row r="44" spans="1:19" x14ac:dyDescent="0.25">
      <c r="A44" t="s">
        <v>81</v>
      </c>
      <c r="B44" t="s">
        <v>82</v>
      </c>
      <c r="C44">
        <v>67</v>
      </c>
      <c r="D44">
        <v>45</v>
      </c>
      <c r="E44">
        <v>80</v>
      </c>
      <c r="F44">
        <v>60</v>
      </c>
      <c r="G44">
        <v>73</v>
      </c>
      <c r="H44">
        <v>65</v>
      </c>
      <c r="I44">
        <v>76</v>
      </c>
      <c r="J44">
        <v>76</v>
      </c>
      <c r="K44">
        <v>65</v>
      </c>
      <c r="L44">
        <v>70</v>
      </c>
      <c r="M44">
        <v>76</v>
      </c>
      <c r="N44">
        <f t="shared" si="1"/>
        <v>753</v>
      </c>
      <c r="O44" s="4">
        <f t="shared" si="2"/>
        <v>75.3</v>
      </c>
      <c r="P44">
        <f t="shared" si="3"/>
        <v>76</v>
      </c>
      <c r="Q44">
        <f t="shared" si="4"/>
        <v>80</v>
      </c>
      <c r="R44">
        <f t="shared" si="5"/>
        <v>45</v>
      </c>
      <c r="S44" t="str">
        <f t="shared" si="0"/>
        <v>PASS</v>
      </c>
    </row>
    <row r="45" spans="1:19" x14ac:dyDescent="0.25">
      <c r="A45" t="s">
        <v>83</v>
      </c>
      <c r="B45" t="s">
        <v>84</v>
      </c>
      <c r="C45">
        <v>71</v>
      </c>
      <c r="D45">
        <v>81</v>
      </c>
      <c r="E45">
        <v>80</v>
      </c>
      <c r="F45">
        <v>80</v>
      </c>
      <c r="G45">
        <v>73</v>
      </c>
      <c r="H45">
        <v>70</v>
      </c>
      <c r="I45">
        <v>76</v>
      </c>
      <c r="J45">
        <v>65</v>
      </c>
      <c r="K45">
        <v>56</v>
      </c>
      <c r="L45">
        <v>75</v>
      </c>
      <c r="M45">
        <v>65</v>
      </c>
      <c r="N45">
        <f t="shared" si="1"/>
        <v>792</v>
      </c>
      <c r="O45" s="4">
        <f t="shared" si="2"/>
        <v>79.2</v>
      </c>
      <c r="P45">
        <f t="shared" si="3"/>
        <v>80</v>
      </c>
      <c r="Q45">
        <f t="shared" si="4"/>
        <v>81</v>
      </c>
      <c r="R45">
        <f t="shared" si="5"/>
        <v>56</v>
      </c>
      <c r="S45" t="str">
        <f t="shared" si="0"/>
        <v>PASS</v>
      </c>
    </row>
    <row r="46" spans="1:19" x14ac:dyDescent="0.25">
      <c r="A46" t="s">
        <v>85</v>
      </c>
      <c r="B46" t="s">
        <v>71</v>
      </c>
      <c r="C46">
        <v>45</v>
      </c>
      <c r="D46">
        <v>61</v>
      </c>
      <c r="E46">
        <v>80</v>
      </c>
      <c r="F46">
        <v>28</v>
      </c>
      <c r="G46">
        <v>73</v>
      </c>
      <c r="H46">
        <v>65</v>
      </c>
      <c r="I46">
        <v>80</v>
      </c>
      <c r="J46">
        <v>54</v>
      </c>
      <c r="K46">
        <v>54</v>
      </c>
      <c r="L46">
        <v>75</v>
      </c>
      <c r="M46">
        <v>54</v>
      </c>
      <c r="N46">
        <f t="shared" si="1"/>
        <v>669</v>
      </c>
      <c r="O46" s="4">
        <f t="shared" si="2"/>
        <v>66.900000000000006</v>
      </c>
      <c r="P46">
        <f t="shared" si="3"/>
        <v>54</v>
      </c>
      <c r="Q46">
        <f t="shared" si="4"/>
        <v>80</v>
      </c>
      <c r="R46">
        <f t="shared" si="5"/>
        <v>28</v>
      </c>
      <c r="S46" t="str">
        <f t="shared" si="0"/>
        <v>PASS</v>
      </c>
    </row>
    <row r="47" spans="1:19" x14ac:dyDescent="0.25">
      <c r="A47" t="s">
        <v>86</v>
      </c>
      <c r="B47" t="s">
        <v>87</v>
      </c>
      <c r="C47">
        <v>67</v>
      </c>
      <c r="D47">
        <v>75</v>
      </c>
      <c r="E47">
        <v>56</v>
      </c>
      <c r="F47">
        <v>35</v>
      </c>
      <c r="G47">
        <v>73</v>
      </c>
      <c r="H47">
        <v>65</v>
      </c>
      <c r="I47">
        <v>76</v>
      </c>
      <c r="J47">
        <v>54</v>
      </c>
      <c r="K47">
        <v>65</v>
      </c>
      <c r="L47">
        <v>75</v>
      </c>
      <c r="M47">
        <v>75</v>
      </c>
      <c r="N47">
        <f t="shared" si="1"/>
        <v>716</v>
      </c>
      <c r="O47" s="4">
        <f t="shared" si="2"/>
        <v>71.599999999999994</v>
      </c>
      <c r="P47">
        <f t="shared" si="3"/>
        <v>75</v>
      </c>
      <c r="Q47">
        <f t="shared" si="4"/>
        <v>76</v>
      </c>
      <c r="R47">
        <f t="shared" si="5"/>
        <v>35</v>
      </c>
      <c r="S47" t="str">
        <f t="shared" si="0"/>
        <v>PASS</v>
      </c>
    </row>
    <row r="48" spans="1:19" x14ac:dyDescent="0.25">
      <c r="A48" t="s">
        <v>88</v>
      </c>
      <c r="B48" t="s">
        <v>89</v>
      </c>
      <c r="C48">
        <v>66</v>
      </c>
      <c r="D48">
        <v>75</v>
      </c>
      <c r="E48">
        <v>71</v>
      </c>
      <c r="F48">
        <v>40</v>
      </c>
      <c r="G48">
        <v>56</v>
      </c>
      <c r="H48">
        <v>61</v>
      </c>
      <c r="I48">
        <v>76</v>
      </c>
      <c r="J48">
        <v>67</v>
      </c>
      <c r="K48">
        <v>80</v>
      </c>
      <c r="L48">
        <v>75</v>
      </c>
      <c r="M48">
        <v>71</v>
      </c>
      <c r="N48">
        <f t="shared" si="1"/>
        <v>738</v>
      </c>
      <c r="O48" s="4">
        <f t="shared" si="2"/>
        <v>73.8</v>
      </c>
      <c r="P48">
        <f t="shared" si="3"/>
        <v>75</v>
      </c>
      <c r="Q48">
        <f t="shared" si="4"/>
        <v>80</v>
      </c>
      <c r="R48">
        <f t="shared" si="5"/>
        <v>40</v>
      </c>
      <c r="S48" t="str">
        <f t="shared" si="0"/>
        <v>PASS</v>
      </c>
    </row>
    <row r="49" spans="1:19" x14ac:dyDescent="0.25">
      <c r="A49" t="s">
        <v>90</v>
      </c>
      <c r="B49" t="s">
        <v>39</v>
      </c>
      <c r="C49">
        <v>76</v>
      </c>
      <c r="D49">
        <v>65</v>
      </c>
      <c r="E49">
        <v>53</v>
      </c>
      <c r="F49">
        <v>65</v>
      </c>
      <c r="G49">
        <v>57</v>
      </c>
      <c r="H49">
        <v>65</v>
      </c>
      <c r="I49">
        <v>54</v>
      </c>
      <c r="J49">
        <v>67</v>
      </c>
      <c r="K49">
        <v>80</v>
      </c>
      <c r="L49">
        <v>67</v>
      </c>
      <c r="M49">
        <v>75</v>
      </c>
      <c r="N49">
        <f t="shared" si="1"/>
        <v>724</v>
      </c>
      <c r="O49" s="4">
        <f t="shared" si="2"/>
        <v>72.400000000000006</v>
      </c>
      <c r="P49">
        <f t="shared" si="3"/>
        <v>65</v>
      </c>
      <c r="Q49">
        <f t="shared" si="4"/>
        <v>80</v>
      </c>
      <c r="R49">
        <f t="shared" si="5"/>
        <v>53</v>
      </c>
      <c r="S49" t="str">
        <f t="shared" si="0"/>
        <v>PASS</v>
      </c>
    </row>
    <row r="50" spans="1:19" x14ac:dyDescent="0.25">
      <c r="A50" t="s">
        <v>91</v>
      </c>
      <c r="B50" t="s">
        <v>20</v>
      </c>
      <c r="C50">
        <v>68</v>
      </c>
      <c r="D50">
        <v>80</v>
      </c>
      <c r="E50">
        <v>71</v>
      </c>
      <c r="F50">
        <v>45</v>
      </c>
      <c r="G50">
        <v>67</v>
      </c>
      <c r="H50">
        <v>65</v>
      </c>
      <c r="I50">
        <v>76</v>
      </c>
      <c r="J50">
        <v>67</v>
      </c>
      <c r="K50">
        <v>80</v>
      </c>
      <c r="L50">
        <v>76</v>
      </c>
      <c r="M50">
        <v>73</v>
      </c>
      <c r="N50">
        <f t="shared" si="1"/>
        <v>768</v>
      </c>
      <c r="O50" s="4">
        <f t="shared" si="2"/>
        <v>76.8</v>
      </c>
      <c r="P50">
        <f t="shared" si="3"/>
        <v>80</v>
      </c>
      <c r="Q50">
        <f t="shared" si="4"/>
        <v>80</v>
      </c>
      <c r="R50">
        <f t="shared" si="5"/>
        <v>45</v>
      </c>
      <c r="S50" t="str">
        <f t="shared" si="0"/>
        <v>PASS</v>
      </c>
    </row>
    <row r="51" spans="1:19" x14ac:dyDescent="0.25">
      <c r="A51" t="s">
        <v>92</v>
      </c>
      <c r="B51" t="s">
        <v>45</v>
      </c>
      <c r="C51">
        <v>71</v>
      </c>
      <c r="D51">
        <v>75</v>
      </c>
      <c r="E51">
        <v>80</v>
      </c>
      <c r="F51">
        <v>67</v>
      </c>
      <c r="G51">
        <v>73</v>
      </c>
      <c r="H51">
        <v>50</v>
      </c>
      <c r="I51">
        <v>71</v>
      </c>
      <c r="J51">
        <v>43</v>
      </c>
      <c r="K51">
        <v>80</v>
      </c>
      <c r="L51">
        <v>65</v>
      </c>
      <c r="M51">
        <v>75</v>
      </c>
      <c r="N51">
        <f t="shared" si="1"/>
        <v>750</v>
      </c>
      <c r="O51" s="4">
        <f t="shared" si="2"/>
        <v>75</v>
      </c>
      <c r="P51">
        <f t="shared" si="3"/>
        <v>71</v>
      </c>
      <c r="Q51">
        <f t="shared" si="4"/>
        <v>80</v>
      </c>
      <c r="R51">
        <f t="shared" si="5"/>
        <v>43</v>
      </c>
      <c r="S51" t="str">
        <f t="shared" si="0"/>
        <v>PASS</v>
      </c>
    </row>
    <row r="52" spans="1:19" x14ac:dyDescent="0.25">
      <c r="N52">
        <f>SUM(C52:M52)</f>
        <v>0</v>
      </c>
      <c r="O52" s="4">
        <f>AVERAGE(N52/10)</f>
        <v>0</v>
      </c>
      <c r="P52" t="e">
        <f>MODE(C52:M52)</f>
        <v>#N/A</v>
      </c>
      <c r="Q52">
        <f>MAX(C52:M52)</f>
        <v>0</v>
      </c>
      <c r="R52">
        <f>MIN(C52:M52)</f>
        <v>0</v>
      </c>
      <c r="S52" s="5" t="str">
        <f>IF(N52&gt;=650,"PASS","FAIL")</f>
        <v>FAIL</v>
      </c>
    </row>
    <row r="53" spans="1:19" x14ac:dyDescent="0.25">
      <c r="A53" s="1" t="s">
        <v>13</v>
      </c>
      <c r="C53">
        <f>AVERAGE(C2:C52)</f>
        <v>63.64</v>
      </c>
      <c r="D53">
        <f t="shared" ref="D53:M53" si="6">AVERAGE(D2:D51)</f>
        <v>68.599999999999994</v>
      </c>
      <c r="E53">
        <f t="shared" si="6"/>
        <v>73.56</v>
      </c>
      <c r="F53">
        <f t="shared" si="6"/>
        <v>67.680000000000007</v>
      </c>
      <c r="G53">
        <f t="shared" si="6"/>
        <v>69.040000000000006</v>
      </c>
      <c r="H53">
        <f t="shared" si="6"/>
        <v>67.3</v>
      </c>
      <c r="I53">
        <f t="shared" si="6"/>
        <v>66.62</v>
      </c>
      <c r="J53">
        <f t="shared" si="6"/>
        <v>65.459999999999994</v>
      </c>
      <c r="K53">
        <f t="shared" si="6"/>
        <v>72.22</v>
      </c>
      <c r="L53">
        <f t="shared" si="6"/>
        <v>70.56</v>
      </c>
      <c r="M53">
        <f t="shared" si="6"/>
        <v>69.599999999999994</v>
      </c>
      <c r="O53" s="4"/>
    </row>
    <row r="54" spans="1:19" x14ac:dyDescent="0.25">
      <c r="A54" s="1" t="s">
        <v>14</v>
      </c>
      <c r="C54">
        <f t="shared" ref="C54:M54" si="7">MODE(C2:C51)</f>
        <v>67</v>
      </c>
      <c r="D54">
        <f t="shared" si="7"/>
        <v>75</v>
      </c>
      <c r="E54">
        <f t="shared" si="7"/>
        <v>80</v>
      </c>
      <c r="F54">
        <f t="shared" si="7"/>
        <v>60</v>
      </c>
      <c r="G54">
        <f t="shared" si="7"/>
        <v>73</v>
      </c>
      <c r="H54">
        <f t="shared" si="7"/>
        <v>65</v>
      </c>
      <c r="I54">
        <f t="shared" si="7"/>
        <v>76</v>
      </c>
      <c r="J54">
        <f t="shared" si="7"/>
        <v>67</v>
      </c>
      <c r="K54">
        <f t="shared" si="7"/>
        <v>80</v>
      </c>
      <c r="L54">
        <f t="shared" si="7"/>
        <v>65</v>
      </c>
      <c r="M54">
        <f t="shared" si="7"/>
        <v>75</v>
      </c>
      <c r="O54" s="4"/>
    </row>
    <row r="55" spans="1:19" x14ac:dyDescent="0.25">
      <c r="A55" s="1" t="s">
        <v>15</v>
      </c>
      <c r="C55">
        <f t="shared" ref="C55:M55" si="8">MAX(C2:C51)</f>
        <v>90</v>
      </c>
      <c r="D55">
        <f t="shared" si="8"/>
        <v>87</v>
      </c>
      <c r="E55">
        <f t="shared" si="8"/>
        <v>98</v>
      </c>
      <c r="F55">
        <f t="shared" si="8"/>
        <v>98</v>
      </c>
      <c r="G55">
        <f t="shared" si="8"/>
        <v>98</v>
      </c>
      <c r="H55">
        <f t="shared" si="8"/>
        <v>90</v>
      </c>
      <c r="I55">
        <f t="shared" si="8"/>
        <v>98</v>
      </c>
      <c r="J55">
        <f t="shared" si="8"/>
        <v>90</v>
      </c>
      <c r="K55">
        <f t="shared" si="8"/>
        <v>98</v>
      </c>
      <c r="L55">
        <f t="shared" si="8"/>
        <v>98</v>
      </c>
      <c r="M55" s="4">
        <f t="shared" si="8"/>
        <v>89</v>
      </c>
      <c r="O55" s="4"/>
    </row>
    <row r="56" spans="1:19" x14ac:dyDescent="0.25">
      <c r="A56" s="1" t="s">
        <v>16</v>
      </c>
      <c r="C56">
        <f>MIN(C2:C52)</f>
        <v>37</v>
      </c>
      <c r="D56">
        <f t="shared" ref="D56:M56" si="9">MIN(D2:D51)</f>
        <v>25</v>
      </c>
      <c r="E56">
        <f t="shared" si="9"/>
        <v>28</v>
      </c>
      <c r="F56">
        <f t="shared" si="9"/>
        <v>28</v>
      </c>
      <c r="G56">
        <f t="shared" si="9"/>
        <v>39</v>
      </c>
      <c r="H56">
        <f t="shared" si="9"/>
        <v>34</v>
      </c>
      <c r="I56">
        <f t="shared" si="9"/>
        <v>30</v>
      </c>
      <c r="J56">
        <f t="shared" si="9"/>
        <v>35</v>
      </c>
      <c r="K56">
        <f t="shared" si="9"/>
        <v>39</v>
      </c>
      <c r="L56">
        <f t="shared" si="9"/>
        <v>47</v>
      </c>
      <c r="M56">
        <f t="shared" si="9"/>
        <v>39</v>
      </c>
      <c r="O56" s="4"/>
    </row>
    <row r="57" spans="1:19" x14ac:dyDescent="0.25">
      <c r="A57" s="1" t="s">
        <v>93</v>
      </c>
      <c r="C57">
        <f>ROUND(C53,1)</f>
        <v>63.6</v>
      </c>
      <c r="D57">
        <f>ROUND(D53,1)</f>
        <v>68.599999999999994</v>
      </c>
      <c r="E57">
        <f t="shared" ref="E57:M57" si="10">ROUND(E53,1)</f>
        <v>73.599999999999994</v>
      </c>
      <c r="F57">
        <f t="shared" si="10"/>
        <v>67.7</v>
      </c>
      <c r="G57">
        <f t="shared" si="10"/>
        <v>69</v>
      </c>
      <c r="H57">
        <f t="shared" si="10"/>
        <v>67.3</v>
      </c>
      <c r="I57">
        <f t="shared" si="10"/>
        <v>66.599999999999994</v>
      </c>
      <c r="J57">
        <f t="shared" si="10"/>
        <v>65.5</v>
      </c>
      <c r="K57">
        <f t="shared" si="10"/>
        <v>72.2</v>
      </c>
      <c r="L57">
        <f t="shared" si="10"/>
        <v>70.599999999999994</v>
      </c>
      <c r="M57">
        <f t="shared" si="10"/>
        <v>69.599999999999994</v>
      </c>
      <c r="O57" s="4"/>
    </row>
    <row r="58" spans="1:19" x14ac:dyDescent="0.25">
      <c r="A58" s="1" t="s">
        <v>94</v>
      </c>
      <c r="C58">
        <f>SUMIF(C2:C52,"&gt;=60")</f>
        <v>2337</v>
      </c>
      <c r="D58">
        <f>SUMIF(D2:D52,"&gt;=60")</f>
        <v>2931</v>
      </c>
      <c r="E58">
        <f>SUMIF(E2:E52,"&gt;=60")</f>
        <v>3156</v>
      </c>
      <c r="F58">
        <f t="shared" ref="F58:M58" si="11">SUMIF(F2:F51,"&gt;=60")</f>
        <v>2850</v>
      </c>
      <c r="G58">
        <f t="shared" si="11"/>
        <v>2972</v>
      </c>
      <c r="H58">
        <f t="shared" si="11"/>
        <v>2892</v>
      </c>
      <c r="I58">
        <f t="shared" si="11"/>
        <v>2658</v>
      </c>
      <c r="J58">
        <f t="shared" si="11"/>
        <v>2515</v>
      </c>
      <c r="K58">
        <f t="shared" si="11"/>
        <v>3197</v>
      </c>
      <c r="L58">
        <f t="shared" si="11"/>
        <v>3111</v>
      </c>
      <c r="M58">
        <f t="shared" si="11"/>
        <v>2978</v>
      </c>
      <c r="O58" s="4"/>
    </row>
    <row r="59" spans="1:19" x14ac:dyDescent="0.25">
      <c r="O59" s="4"/>
    </row>
    <row r="60" spans="1:19" x14ac:dyDescent="0.25">
      <c r="A60" s="1" t="s">
        <v>95</v>
      </c>
      <c r="C60">
        <f>COUNT(A1:S58)</f>
        <v>868</v>
      </c>
      <c r="O60" s="4"/>
    </row>
    <row r="61" spans="1:19" x14ac:dyDescent="0.25">
      <c r="A61" s="1" t="s">
        <v>96</v>
      </c>
      <c r="C61">
        <f>COUNTA(A1:S58)</f>
        <v>1047</v>
      </c>
      <c r="O61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 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2026-10-22T03:33:38Z</dcterms:created>
  <dcterms:modified xsi:type="dcterms:W3CDTF">2026-10-22T08:42:48Z</dcterms:modified>
</cp:coreProperties>
</file>