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8" i="1" l="1"/>
  <c r="L56" i="1"/>
  <c r="L55" i="1"/>
  <c r="L54" i="1"/>
  <c r="L53" i="1"/>
  <c r="L57" i="1" s="1"/>
  <c r="E58" i="1"/>
  <c r="D58" i="1"/>
  <c r="C58" i="1"/>
  <c r="C56" i="1"/>
  <c r="C53" i="1"/>
  <c r="N52" i="1"/>
  <c r="O52" i="1"/>
  <c r="P52" i="1"/>
  <c r="Q52" i="1"/>
  <c r="R52" i="1"/>
  <c r="S52" i="1"/>
  <c r="M58" i="1"/>
  <c r="K58" i="1"/>
  <c r="J58" i="1"/>
  <c r="I58" i="1"/>
  <c r="H58" i="1"/>
  <c r="G58" i="1"/>
  <c r="F58" i="1"/>
  <c r="M56" i="1"/>
  <c r="K56" i="1"/>
  <c r="J56" i="1"/>
  <c r="I56" i="1"/>
  <c r="H56" i="1"/>
  <c r="G56" i="1"/>
  <c r="F56" i="1"/>
  <c r="E56" i="1"/>
  <c r="D56" i="1"/>
  <c r="M55" i="1"/>
  <c r="K55" i="1"/>
  <c r="J55" i="1"/>
  <c r="I55" i="1"/>
  <c r="H55" i="1"/>
  <c r="G55" i="1"/>
  <c r="F55" i="1"/>
  <c r="E55" i="1"/>
  <c r="D55" i="1"/>
  <c r="C55" i="1"/>
  <c r="M54" i="1"/>
  <c r="K54" i="1"/>
  <c r="J54" i="1"/>
  <c r="I54" i="1"/>
  <c r="H54" i="1"/>
  <c r="G54" i="1"/>
  <c r="F54" i="1"/>
  <c r="E54" i="1"/>
  <c r="D54" i="1"/>
  <c r="C54" i="1"/>
  <c r="M53" i="1"/>
  <c r="M57" i="1" s="1"/>
  <c r="K53" i="1"/>
  <c r="K57" i="1" s="1"/>
  <c r="J53" i="1"/>
  <c r="J57" i="1" s="1"/>
  <c r="I53" i="1"/>
  <c r="I57" i="1" s="1"/>
  <c r="H53" i="1"/>
  <c r="H57" i="1" s="1"/>
  <c r="G53" i="1"/>
  <c r="G57" i="1" s="1"/>
  <c r="F53" i="1"/>
  <c r="F57" i="1" s="1"/>
  <c r="E53" i="1"/>
  <c r="E57" i="1" s="1"/>
  <c r="D53" i="1"/>
  <c r="D57" i="1" s="1"/>
  <c r="C57" i="1"/>
  <c r="R51" i="1"/>
  <c r="Q51" i="1"/>
  <c r="P51" i="1"/>
  <c r="N51" i="1"/>
  <c r="S51" i="1" s="1"/>
  <c r="R50" i="1"/>
  <c r="Q50" i="1"/>
  <c r="P50" i="1"/>
  <c r="N50" i="1"/>
  <c r="S50" i="1" s="1"/>
  <c r="R49" i="1"/>
  <c r="Q49" i="1"/>
  <c r="P49" i="1"/>
  <c r="N49" i="1"/>
  <c r="S49" i="1" s="1"/>
  <c r="R48" i="1"/>
  <c r="Q48" i="1"/>
  <c r="P48" i="1"/>
  <c r="N48" i="1"/>
  <c r="S48" i="1" s="1"/>
  <c r="R47" i="1"/>
  <c r="Q47" i="1"/>
  <c r="P47" i="1"/>
  <c r="N47" i="1"/>
  <c r="S47" i="1" s="1"/>
  <c r="R46" i="1"/>
  <c r="Q46" i="1"/>
  <c r="P46" i="1"/>
  <c r="N46" i="1"/>
  <c r="S46" i="1" s="1"/>
  <c r="R45" i="1"/>
  <c r="Q45" i="1"/>
  <c r="P45" i="1"/>
  <c r="N45" i="1"/>
  <c r="S45" i="1" s="1"/>
  <c r="R44" i="1"/>
  <c r="Q44" i="1"/>
  <c r="P44" i="1"/>
  <c r="N44" i="1"/>
  <c r="S44" i="1" s="1"/>
  <c r="R43" i="1"/>
  <c r="Q43" i="1"/>
  <c r="P43" i="1"/>
  <c r="N43" i="1"/>
  <c r="S43" i="1" s="1"/>
  <c r="R42" i="1"/>
  <c r="Q42" i="1"/>
  <c r="P42" i="1"/>
  <c r="N42" i="1"/>
  <c r="S42" i="1" s="1"/>
  <c r="R41" i="1"/>
  <c r="Q41" i="1"/>
  <c r="P41" i="1"/>
  <c r="N41" i="1"/>
  <c r="S41" i="1" s="1"/>
  <c r="R40" i="1"/>
  <c r="Q40" i="1"/>
  <c r="P40" i="1"/>
  <c r="N40" i="1"/>
  <c r="S40" i="1" s="1"/>
  <c r="R39" i="1"/>
  <c r="Q39" i="1"/>
  <c r="P39" i="1"/>
  <c r="N39" i="1"/>
  <c r="S39" i="1" s="1"/>
  <c r="R38" i="1"/>
  <c r="Q38" i="1"/>
  <c r="P38" i="1"/>
  <c r="N38" i="1"/>
  <c r="S38" i="1" s="1"/>
  <c r="R37" i="1"/>
  <c r="Q37" i="1"/>
  <c r="P37" i="1"/>
  <c r="N37" i="1"/>
  <c r="S37" i="1" s="1"/>
  <c r="S36" i="1"/>
  <c r="R36" i="1"/>
  <c r="Q36" i="1"/>
  <c r="P36" i="1"/>
  <c r="O36" i="1"/>
  <c r="N36" i="1"/>
  <c r="R35" i="1"/>
  <c r="Q35" i="1"/>
  <c r="P35" i="1"/>
  <c r="N35" i="1"/>
  <c r="S35" i="1" s="1"/>
  <c r="R34" i="1"/>
  <c r="Q34" i="1"/>
  <c r="P34" i="1"/>
  <c r="N34" i="1"/>
  <c r="S34" i="1" s="1"/>
  <c r="R33" i="1"/>
  <c r="Q33" i="1"/>
  <c r="P33" i="1"/>
  <c r="N33" i="1"/>
  <c r="S33" i="1" s="1"/>
  <c r="R32" i="1"/>
  <c r="Q32" i="1"/>
  <c r="P32" i="1"/>
  <c r="N32" i="1"/>
  <c r="S32" i="1" s="1"/>
  <c r="R31" i="1"/>
  <c r="Q31" i="1"/>
  <c r="P31" i="1"/>
  <c r="N31" i="1"/>
  <c r="S31" i="1" s="1"/>
  <c r="R30" i="1"/>
  <c r="Q30" i="1"/>
  <c r="P30" i="1"/>
  <c r="N30" i="1"/>
  <c r="S30" i="1" s="1"/>
  <c r="R29" i="1"/>
  <c r="Q29" i="1"/>
  <c r="P29" i="1"/>
  <c r="N29" i="1"/>
  <c r="S29" i="1" s="1"/>
  <c r="R28" i="1"/>
  <c r="Q28" i="1"/>
  <c r="P28" i="1"/>
  <c r="N28" i="1"/>
  <c r="S28" i="1" s="1"/>
  <c r="R27" i="1"/>
  <c r="Q27" i="1"/>
  <c r="P27" i="1"/>
  <c r="N27" i="1"/>
  <c r="S27" i="1" s="1"/>
  <c r="R26" i="1"/>
  <c r="Q26" i="1"/>
  <c r="P26" i="1"/>
  <c r="N26" i="1"/>
  <c r="S26" i="1" s="1"/>
  <c r="R25" i="1"/>
  <c r="Q25" i="1"/>
  <c r="P25" i="1"/>
  <c r="N25" i="1"/>
  <c r="S25" i="1" s="1"/>
  <c r="R24" i="1"/>
  <c r="Q24" i="1"/>
  <c r="P24" i="1"/>
  <c r="N24" i="1"/>
  <c r="S24" i="1" s="1"/>
  <c r="R23" i="1"/>
  <c r="Q23" i="1"/>
  <c r="P23" i="1"/>
  <c r="N23" i="1"/>
  <c r="S23" i="1" s="1"/>
  <c r="R22" i="1"/>
  <c r="Q22" i="1"/>
  <c r="P22" i="1"/>
  <c r="N22" i="1"/>
  <c r="S22" i="1" s="1"/>
  <c r="R21" i="1"/>
  <c r="Q21" i="1"/>
  <c r="P21" i="1"/>
  <c r="N21" i="1"/>
  <c r="S21" i="1" s="1"/>
  <c r="R20" i="1"/>
  <c r="Q20" i="1"/>
  <c r="P20" i="1"/>
  <c r="N20" i="1"/>
  <c r="S20" i="1" s="1"/>
  <c r="R19" i="1"/>
  <c r="Q19" i="1"/>
  <c r="P19" i="1"/>
  <c r="N19" i="1"/>
  <c r="S19" i="1" s="1"/>
  <c r="R18" i="1"/>
  <c r="Q18" i="1"/>
  <c r="P18" i="1"/>
  <c r="N18" i="1"/>
  <c r="S18" i="1" s="1"/>
  <c r="R17" i="1"/>
  <c r="Q17" i="1"/>
  <c r="P17" i="1"/>
  <c r="N17" i="1"/>
  <c r="S17" i="1" s="1"/>
  <c r="R16" i="1"/>
  <c r="Q16" i="1"/>
  <c r="P16" i="1"/>
  <c r="N16" i="1"/>
  <c r="S16" i="1" s="1"/>
  <c r="R15" i="1"/>
  <c r="Q15" i="1"/>
  <c r="P15" i="1"/>
  <c r="N15" i="1"/>
  <c r="S15" i="1" s="1"/>
  <c r="R14" i="1"/>
  <c r="Q14" i="1"/>
  <c r="P14" i="1"/>
  <c r="N14" i="1"/>
  <c r="S14" i="1" s="1"/>
  <c r="R13" i="1"/>
  <c r="Q13" i="1"/>
  <c r="P13" i="1"/>
  <c r="N13" i="1"/>
  <c r="S13" i="1" s="1"/>
  <c r="R12" i="1"/>
  <c r="Q12" i="1"/>
  <c r="P12" i="1"/>
  <c r="N12" i="1"/>
  <c r="S12" i="1" s="1"/>
  <c r="R11" i="1"/>
  <c r="Q11" i="1"/>
  <c r="P11" i="1"/>
  <c r="N11" i="1"/>
  <c r="S11" i="1" s="1"/>
  <c r="R10" i="1"/>
  <c r="Q10" i="1"/>
  <c r="P10" i="1"/>
  <c r="N10" i="1"/>
  <c r="S10" i="1" s="1"/>
  <c r="R9" i="1"/>
  <c r="Q9" i="1"/>
  <c r="P9" i="1"/>
  <c r="N9" i="1"/>
  <c r="S9" i="1" s="1"/>
  <c r="R8" i="1"/>
  <c r="Q8" i="1"/>
  <c r="P8" i="1"/>
  <c r="N8" i="1"/>
  <c r="S8" i="1" s="1"/>
  <c r="R7" i="1"/>
  <c r="Q7" i="1"/>
  <c r="P7" i="1"/>
  <c r="N7" i="1"/>
  <c r="S7" i="1" s="1"/>
  <c r="R6" i="1"/>
  <c r="Q6" i="1"/>
  <c r="P6" i="1"/>
  <c r="N6" i="1"/>
  <c r="S6" i="1" s="1"/>
  <c r="R5" i="1"/>
  <c r="Q5" i="1"/>
  <c r="P5" i="1"/>
  <c r="N5" i="1"/>
  <c r="S5" i="1" s="1"/>
  <c r="R4" i="1"/>
  <c r="Q4" i="1"/>
  <c r="P4" i="1"/>
  <c r="N4" i="1"/>
  <c r="S4" i="1" s="1"/>
  <c r="R3" i="1"/>
  <c r="Q3" i="1"/>
  <c r="P3" i="1"/>
  <c r="N3" i="1"/>
  <c r="S3" i="1" s="1"/>
  <c r="R2" i="1"/>
  <c r="Q2" i="1"/>
  <c r="P2" i="1"/>
  <c r="N2" i="1"/>
  <c r="O2" i="1" s="1"/>
  <c r="O50" i="1" l="1"/>
  <c r="O48" i="1"/>
  <c r="O46" i="1"/>
  <c r="O44" i="1"/>
  <c r="O42" i="1"/>
  <c r="O40" i="1"/>
  <c r="O38" i="1"/>
  <c r="O34" i="1"/>
  <c r="O32" i="1"/>
  <c r="O30" i="1"/>
  <c r="O28" i="1"/>
  <c r="O26" i="1"/>
  <c r="O24" i="1"/>
  <c r="O22" i="1"/>
  <c r="O20" i="1"/>
  <c r="O18" i="1"/>
  <c r="O16" i="1"/>
  <c r="O14" i="1"/>
  <c r="O12" i="1"/>
  <c r="O10" i="1"/>
  <c r="O8" i="1"/>
  <c r="O6" i="1"/>
  <c r="O4" i="1"/>
  <c r="S2" i="1"/>
  <c r="O3" i="1"/>
  <c r="O5" i="1"/>
  <c r="O7" i="1"/>
  <c r="O9" i="1"/>
  <c r="O11" i="1"/>
  <c r="O13" i="1"/>
  <c r="O15" i="1"/>
  <c r="O17" i="1"/>
  <c r="O19" i="1"/>
  <c r="O21" i="1"/>
  <c r="O23" i="1"/>
  <c r="O25" i="1"/>
  <c r="O27" i="1"/>
  <c r="O29" i="1"/>
  <c r="O31" i="1"/>
  <c r="O33" i="1"/>
  <c r="O35" i="1"/>
  <c r="O37" i="1"/>
  <c r="O39" i="1"/>
  <c r="O41" i="1"/>
  <c r="O43" i="1"/>
  <c r="O45" i="1"/>
  <c r="O47" i="1"/>
  <c r="O49" i="1"/>
  <c r="O51" i="1"/>
  <c r="C60" i="1" l="1"/>
  <c r="C61" i="1"/>
</calcChain>
</file>

<file path=xl/sharedStrings.xml><?xml version="1.0" encoding="utf-8"?>
<sst xmlns="http://schemas.openxmlformats.org/spreadsheetml/2006/main" count="128" uniqueCount="100">
  <si>
    <t>FIRST NAME</t>
  </si>
  <si>
    <t>SECOND NAME</t>
  </si>
  <si>
    <t>MATHS</t>
  </si>
  <si>
    <t>ENGLISH</t>
  </si>
  <si>
    <t>KISWAHILI</t>
  </si>
  <si>
    <t>BIOLOGY</t>
  </si>
  <si>
    <t>CHEMISTRY</t>
  </si>
  <si>
    <t>PHYSICS</t>
  </si>
  <si>
    <t>AGRIC</t>
  </si>
  <si>
    <t>HISTORY</t>
  </si>
  <si>
    <t>COMPUTER</t>
  </si>
  <si>
    <t>GEOGRAPHY</t>
  </si>
  <si>
    <t>TOTAL</t>
  </si>
  <si>
    <t>MEAN</t>
  </si>
  <si>
    <t>MODE</t>
  </si>
  <si>
    <t>MAX</t>
  </si>
  <si>
    <t>MIN</t>
  </si>
  <si>
    <t>REMARKS</t>
  </si>
  <si>
    <t>A1:</t>
  </si>
  <si>
    <t>Muchemi</t>
  </si>
  <si>
    <t>Christine</t>
  </si>
  <si>
    <t>Achieng</t>
  </si>
  <si>
    <t>Joseph</t>
  </si>
  <si>
    <t>Wafula</t>
  </si>
  <si>
    <t>Paul</t>
  </si>
  <si>
    <t>Odhiambo</t>
  </si>
  <si>
    <t>Margaret</t>
  </si>
  <si>
    <t>Akinyi</t>
  </si>
  <si>
    <t>Evaline</t>
  </si>
  <si>
    <t>Mwai</t>
  </si>
  <si>
    <t>Joy</t>
  </si>
  <si>
    <t>Mercy</t>
  </si>
  <si>
    <t>Gloria</t>
  </si>
  <si>
    <t>Mwende</t>
  </si>
  <si>
    <t>Wairimu</t>
  </si>
  <si>
    <t>Michael</t>
  </si>
  <si>
    <t>Wekesa</t>
  </si>
  <si>
    <t>Vallary</t>
  </si>
  <si>
    <t>Rosemary</t>
  </si>
  <si>
    <t>Moses</t>
  </si>
  <si>
    <t>Otieno</t>
  </si>
  <si>
    <t>Eli</t>
  </si>
  <si>
    <t>Omondi</t>
  </si>
  <si>
    <t>Lamora</t>
  </si>
  <si>
    <t>Latifa</t>
  </si>
  <si>
    <t>Brian</t>
  </si>
  <si>
    <t>Ochieng</t>
  </si>
  <si>
    <t>Caroline</t>
  </si>
  <si>
    <t>Atieno</t>
  </si>
  <si>
    <t>Gabriel</t>
  </si>
  <si>
    <t>Lecilia</t>
  </si>
  <si>
    <t>Alphonce</t>
  </si>
  <si>
    <t>Lameck</t>
  </si>
  <si>
    <t>Kiragu</t>
  </si>
  <si>
    <t>John</t>
  </si>
  <si>
    <t>Okinyi</t>
  </si>
  <si>
    <t>Adrian</t>
  </si>
  <si>
    <t>Juma</t>
  </si>
  <si>
    <t>Stacy</t>
  </si>
  <si>
    <t>Awuor</t>
  </si>
  <si>
    <t>Elsie</t>
  </si>
  <si>
    <t>Kosgei</t>
  </si>
  <si>
    <t>Millicent</t>
  </si>
  <si>
    <t>Jared</t>
  </si>
  <si>
    <t>Bravon</t>
  </si>
  <si>
    <t>Britney</t>
  </si>
  <si>
    <t>Brenda</t>
  </si>
  <si>
    <t>Walter</t>
  </si>
  <si>
    <t>Ambrose</t>
  </si>
  <si>
    <t>Catherine</t>
  </si>
  <si>
    <t>Lucille</t>
  </si>
  <si>
    <t>Alice</t>
  </si>
  <si>
    <t>Maria</t>
  </si>
  <si>
    <t>Emillio</t>
  </si>
  <si>
    <t>Florence</t>
  </si>
  <si>
    <t>Lily</t>
  </si>
  <si>
    <t>Olivia</t>
  </si>
  <si>
    <t>Samson</t>
  </si>
  <si>
    <t>Andrew</t>
  </si>
  <si>
    <t>Ouma</t>
  </si>
  <si>
    <t>Hannington</t>
  </si>
  <si>
    <t>Dei</t>
  </si>
  <si>
    <t>George</t>
  </si>
  <si>
    <t>Opiyo</t>
  </si>
  <si>
    <t>Emmanuel</t>
  </si>
  <si>
    <t>Caxton</t>
  </si>
  <si>
    <t>Gabriella</t>
  </si>
  <si>
    <t>Ivana</t>
  </si>
  <si>
    <t>Amelia</t>
  </si>
  <si>
    <t>Sophie</t>
  </si>
  <si>
    <t>Wanjiku</t>
  </si>
  <si>
    <t>Norbert</t>
  </si>
  <si>
    <t>Lucy</t>
  </si>
  <si>
    <t>Alban</t>
  </si>
  <si>
    <t>ROUND 1DP</t>
  </si>
  <si>
    <t>SUMIF</t>
  </si>
  <si>
    <t>COUNT</t>
  </si>
  <si>
    <t>COUNTA</t>
  </si>
  <si>
    <t>CRE</t>
  </si>
  <si>
    <t>i76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</si>
</sst>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0" fillId="0" borderId="0" xfId="0" applyFon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S52" totalsRowShown="0" headerRowDxfId="2">
  <autoFilter ref="A1:S52"/>
  <tableColumns count="19">
    <tableColumn id="1" name="FIRST NAME"/>
    <tableColumn id="2" name="SECOND NAME"/>
    <tableColumn id="3" name="MATHS"/>
    <tableColumn id="4" name="ENGLISH"/>
    <tableColumn id="5" name="KISWAHILI"/>
    <tableColumn id="6" name="BIOLOGY"/>
    <tableColumn id="7" name="CHEMISTRY"/>
    <tableColumn id="8" name="PHYSICS"/>
    <tableColumn id="9" name="AGRIC"/>
    <tableColumn id="10" name="HISTORY"/>
    <tableColumn id="11" name="COMPUTER"/>
    <tableColumn id="19" name="CRE"/>
    <tableColumn id="12" name="GEOGRAPHY"/>
    <tableColumn id="13" name="TOTAL">
      <calculatedColumnFormula>SUM(C2:M2)</calculatedColumnFormula>
    </tableColumn>
    <tableColumn id="14" name="MEAN" dataDxfId="1">
      <calculatedColumnFormula>AVERAGE(N2/10)</calculatedColumnFormula>
    </tableColumn>
    <tableColumn id="15" name="MODE">
      <calculatedColumnFormula>MODE(C2:M2)</calculatedColumnFormula>
    </tableColumn>
    <tableColumn id="16" name="MAX">
      <calculatedColumnFormula>MAX(C2:M2)</calculatedColumnFormula>
    </tableColumn>
    <tableColumn id="17" name="MIN">
      <calculatedColumnFormula>MIN(C2:M2)</calculatedColumnFormula>
    </tableColumn>
    <tableColumn id="18" name="REMARKS" dataDxfId="0">
      <calculatedColumnFormula>IF(N2&gt;=650,"PASS","FAIL")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abSelected="1" topLeftCell="A37" workbookViewId="0">
      <selection activeCell="K58" sqref="K58:L58"/>
    </sheetView>
  </sheetViews>
  <sheetFormatPr defaultRowHeight="15" x14ac:dyDescent="0.25"/>
  <cols>
    <col min="1" max="1" width="14" bestFit="1" customWidth="1"/>
    <col min="2" max="2" width="16.7109375" bestFit="1" customWidth="1"/>
    <col min="4" max="4" width="10.85546875" bestFit="1" customWidth="1"/>
    <col min="5" max="5" width="12.5703125" bestFit="1" customWidth="1"/>
    <col min="6" max="6" width="11.28515625" bestFit="1" customWidth="1"/>
    <col min="7" max="7" width="13.42578125" bestFit="1" customWidth="1"/>
    <col min="8" max="8" width="10.5703125" bestFit="1" customWidth="1"/>
    <col min="9" max="9" width="8.85546875" bestFit="1" customWidth="1"/>
    <col min="10" max="10" width="10.85546875" bestFit="1" customWidth="1"/>
    <col min="11" max="11" width="13.42578125" bestFit="1" customWidth="1"/>
    <col min="12" max="12" width="13.42578125" customWidth="1"/>
    <col min="13" max="13" width="14.5703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98</v>
      </c>
      <c r="M1" s="1" t="s">
        <v>11</v>
      </c>
      <c r="N1" s="1" t="s">
        <v>12</v>
      </c>
      <c r="O1" s="2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3" t="s">
        <v>18</v>
      </c>
      <c r="B2" t="s">
        <v>19</v>
      </c>
      <c r="C2">
        <v>70</v>
      </c>
      <c r="D2">
        <v>68</v>
      </c>
      <c r="E2">
        <v>89</v>
      </c>
      <c r="F2">
        <v>59</v>
      </c>
      <c r="G2">
        <v>60</v>
      </c>
      <c r="H2">
        <v>70</v>
      </c>
      <c r="I2">
        <v>60</v>
      </c>
      <c r="J2">
        <v>80</v>
      </c>
      <c r="K2">
        <v>75</v>
      </c>
      <c r="L2">
        <v>80</v>
      </c>
      <c r="M2">
        <v>69</v>
      </c>
      <c r="N2">
        <f>SUM(C2:M2)</f>
        <v>780</v>
      </c>
      <c r="O2" s="4">
        <f>AVERAGE(N2/10)</f>
        <v>78</v>
      </c>
      <c r="P2">
        <f>MODE(C2:M2)</f>
        <v>70</v>
      </c>
      <c r="Q2">
        <f>MAX(C2:M2)</f>
        <v>89</v>
      </c>
      <c r="R2">
        <f>MIN(C2:M2)</f>
        <v>59</v>
      </c>
      <c r="S2" t="str">
        <f t="shared" ref="S2:S51" si="0">IF(N2&gt;=650,"PASS","FAIL")</f>
        <v>PASS</v>
      </c>
    </row>
    <row r="3" spans="1:19" x14ac:dyDescent="0.25">
      <c r="A3" t="s">
        <v>20</v>
      </c>
      <c r="B3" t="s">
        <v>21</v>
      </c>
      <c r="C3">
        <v>40</v>
      </c>
      <c r="D3">
        <v>65</v>
      </c>
      <c r="E3">
        <v>73</v>
      </c>
      <c r="F3">
        <v>50</v>
      </c>
      <c r="G3">
        <v>60</v>
      </c>
      <c r="H3">
        <v>80</v>
      </c>
      <c r="I3">
        <v>65</v>
      </c>
      <c r="J3">
        <v>54</v>
      </c>
      <c r="K3">
        <v>73</v>
      </c>
      <c r="L3">
        <v>85</v>
      </c>
      <c r="M3">
        <v>78</v>
      </c>
      <c r="N3">
        <f t="shared" ref="N3:N51" si="1">SUM(C3:M3)</f>
        <v>723</v>
      </c>
      <c r="O3" s="4">
        <f t="shared" ref="O3:O51" si="2">AVERAGE(N3/10)</f>
        <v>72.3</v>
      </c>
      <c r="P3">
        <f t="shared" ref="P3:P51" si="3">MODE(C3:M3)</f>
        <v>65</v>
      </c>
      <c r="Q3">
        <f t="shared" ref="Q3:Q51" si="4">MAX(C3:M3)</f>
        <v>85</v>
      </c>
      <c r="R3">
        <f t="shared" ref="R3:R51" si="5">MIN(C3:M3)</f>
        <v>40</v>
      </c>
      <c r="S3" t="str">
        <f t="shared" si="0"/>
        <v>PASS</v>
      </c>
    </row>
    <row r="4" spans="1:19" x14ac:dyDescent="0.25">
      <c r="A4" t="s">
        <v>22</v>
      </c>
      <c r="B4" t="s">
        <v>23</v>
      </c>
      <c r="C4">
        <v>54</v>
      </c>
      <c r="D4">
        <v>76</v>
      </c>
      <c r="E4">
        <v>85</v>
      </c>
      <c r="F4">
        <v>78</v>
      </c>
      <c r="G4">
        <v>54</v>
      </c>
      <c r="H4">
        <v>34</v>
      </c>
      <c r="I4">
        <v>67</v>
      </c>
      <c r="J4">
        <v>80</v>
      </c>
      <c r="K4">
        <v>65</v>
      </c>
      <c r="L4">
        <v>65</v>
      </c>
      <c r="M4">
        <v>45</v>
      </c>
      <c r="N4">
        <f t="shared" si="1"/>
        <v>703</v>
      </c>
      <c r="O4" s="4">
        <f t="shared" si="2"/>
        <v>70.3</v>
      </c>
      <c r="P4">
        <f t="shared" si="3"/>
        <v>54</v>
      </c>
      <c r="Q4">
        <f t="shared" si="4"/>
        <v>85</v>
      </c>
      <c r="R4">
        <f t="shared" si="5"/>
        <v>34</v>
      </c>
      <c r="S4" t="str">
        <f t="shared" si="0"/>
        <v>PASS</v>
      </c>
    </row>
    <row r="5" spans="1:19" x14ac:dyDescent="0.25">
      <c r="A5" t="s">
        <v>24</v>
      </c>
      <c r="B5" t="s">
        <v>25</v>
      </c>
      <c r="C5">
        <v>80</v>
      </c>
      <c r="D5">
        <v>56</v>
      </c>
      <c r="E5">
        <v>78</v>
      </c>
      <c r="F5">
        <v>80</v>
      </c>
      <c r="G5">
        <v>78</v>
      </c>
      <c r="H5">
        <v>89</v>
      </c>
      <c r="I5">
        <v>67</v>
      </c>
      <c r="J5">
        <v>53</v>
      </c>
      <c r="K5">
        <v>60</v>
      </c>
      <c r="L5">
        <v>78</v>
      </c>
      <c r="M5">
        <v>56</v>
      </c>
      <c r="N5">
        <f t="shared" si="1"/>
        <v>775</v>
      </c>
      <c r="O5" s="4">
        <f t="shared" si="2"/>
        <v>77.5</v>
      </c>
      <c r="P5">
        <f t="shared" si="3"/>
        <v>78</v>
      </c>
      <c r="Q5">
        <f t="shared" si="4"/>
        <v>89</v>
      </c>
      <c r="R5">
        <f t="shared" si="5"/>
        <v>53</v>
      </c>
      <c r="S5" t="str">
        <f t="shared" si="0"/>
        <v>PASS</v>
      </c>
    </row>
    <row r="6" spans="1:19" x14ac:dyDescent="0.25">
      <c r="A6" t="s">
        <v>26</v>
      </c>
      <c r="B6" t="s">
        <v>27</v>
      </c>
      <c r="C6">
        <v>54</v>
      </c>
      <c r="D6">
        <v>67</v>
      </c>
      <c r="E6">
        <v>89</v>
      </c>
      <c r="F6">
        <v>70</v>
      </c>
      <c r="G6">
        <v>60</v>
      </c>
      <c r="H6">
        <v>65</v>
      </c>
      <c r="I6">
        <v>54</v>
      </c>
      <c r="J6">
        <v>67</v>
      </c>
      <c r="K6">
        <v>80</v>
      </c>
      <c r="L6">
        <v>78</v>
      </c>
      <c r="M6">
        <v>65</v>
      </c>
      <c r="N6">
        <f t="shared" si="1"/>
        <v>749</v>
      </c>
      <c r="O6" s="4">
        <f t="shared" si="2"/>
        <v>74.900000000000006</v>
      </c>
      <c r="P6">
        <f t="shared" si="3"/>
        <v>54</v>
      </c>
      <c r="Q6">
        <f t="shared" si="4"/>
        <v>89</v>
      </c>
      <c r="R6">
        <f t="shared" si="5"/>
        <v>54</v>
      </c>
      <c r="S6" t="str">
        <f t="shared" si="0"/>
        <v>PASS</v>
      </c>
    </row>
    <row r="7" spans="1:19" x14ac:dyDescent="0.25">
      <c r="A7" t="s">
        <v>28</v>
      </c>
      <c r="B7" t="s">
        <v>21</v>
      </c>
      <c r="C7">
        <v>65</v>
      </c>
      <c r="D7">
        <v>78</v>
      </c>
      <c r="E7">
        <v>78</v>
      </c>
      <c r="F7">
        <v>80</v>
      </c>
      <c r="G7">
        <v>56</v>
      </c>
      <c r="H7">
        <v>45</v>
      </c>
      <c r="I7">
        <v>34</v>
      </c>
      <c r="J7">
        <v>56</v>
      </c>
      <c r="K7">
        <v>70</v>
      </c>
      <c r="L7">
        <v>56</v>
      </c>
      <c r="M7">
        <v>86</v>
      </c>
      <c r="N7">
        <f t="shared" si="1"/>
        <v>704</v>
      </c>
      <c r="O7" s="4">
        <f t="shared" si="2"/>
        <v>70.400000000000006</v>
      </c>
      <c r="P7">
        <f t="shared" si="3"/>
        <v>56</v>
      </c>
      <c r="Q7">
        <f t="shared" si="4"/>
        <v>86</v>
      </c>
      <c r="R7">
        <f t="shared" si="5"/>
        <v>34</v>
      </c>
      <c r="S7" t="str">
        <f t="shared" si="0"/>
        <v>PASS</v>
      </c>
    </row>
    <row r="8" spans="1:19" x14ac:dyDescent="0.25">
      <c r="A8" t="s">
        <v>22</v>
      </c>
      <c r="B8" t="s">
        <v>29</v>
      </c>
      <c r="C8">
        <v>80</v>
      </c>
      <c r="D8">
        <v>80</v>
      </c>
      <c r="E8">
        <v>89</v>
      </c>
      <c r="F8">
        <v>65</v>
      </c>
      <c r="G8">
        <v>75</v>
      </c>
      <c r="H8">
        <v>79</v>
      </c>
      <c r="I8">
        <v>70</v>
      </c>
      <c r="J8">
        <v>86</v>
      </c>
      <c r="K8">
        <v>74</v>
      </c>
      <c r="L8">
        <v>98</v>
      </c>
      <c r="M8">
        <v>65</v>
      </c>
      <c r="N8">
        <f t="shared" si="1"/>
        <v>861</v>
      </c>
      <c r="O8" s="4">
        <f t="shared" si="2"/>
        <v>86.1</v>
      </c>
      <c r="P8">
        <f t="shared" si="3"/>
        <v>80</v>
      </c>
      <c r="Q8">
        <f t="shared" si="4"/>
        <v>98</v>
      </c>
      <c r="R8">
        <f t="shared" si="5"/>
        <v>65</v>
      </c>
      <c r="S8" t="str">
        <f t="shared" si="0"/>
        <v>PASS</v>
      </c>
    </row>
    <row r="9" spans="1:19" x14ac:dyDescent="0.25">
      <c r="A9" t="s">
        <v>30</v>
      </c>
      <c r="B9" t="s">
        <v>31</v>
      </c>
      <c r="C9">
        <v>65</v>
      </c>
      <c r="D9">
        <v>78</v>
      </c>
      <c r="E9">
        <v>98</v>
      </c>
      <c r="F9">
        <v>80</v>
      </c>
      <c r="G9">
        <v>54</v>
      </c>
      <c r="H9">
        <v>43</v>
      </c>
      <c r="I9">
        <v>44</v>
      </c>
      <c r="J9">
        <v>67</v>
      </c>
      <c r="K9">
        <v>65</v>
      </c>
      <c r="L9">
        <v>97</v>
      </c>
      <c r="M9">
        <v>45</v>
      </c>
      <c r="N9">
        <f t="shared" si="1"/>
        <v>736</v>
      </c>
      <c r="O9" s="4">
        <f t="shared" si="2"/>
        <v>73.599999999999994</v>
      </c>
      <c r="P9">
        <f t="shared" si="3"/>
        <v>65</v>
      </c>
      <c r="Q9">
        <f t="shared" si="4"/>
        <v>98</v>
      </c>
      <c r="R9">
        <f t="shared" si="5"/>
        <v>43</v>
      </c>
      <c r="S9" t="str">
        <f t="shared" si="0"/>
        <v>PASS</v>
      </c>
    </row>
    <row r="10" spans="1:19" x14ac:dyDescent="0.25">
      <c r="A10" t="s">
        <v>32</v>
      </c>
      <c r="B10" t="s">
        <v>33</v>
      </c>
      <c r="C10">
        <v>65</v>
      </c>
      <c r="D10">
        <v>74</v>
      </c>
      <c r="E10">
        <v>65</v>
      </c>
      <c r="F10">
        <v>54</v>
      </c>
      <c r="G10">
        <v>78</v>
      </c>
      <c r="H10">
        <v>90</v>
      </c>
      <c r="I10">
        <v>65</v>
      </c>
      <c r="J10">
        <v>45</v>
      </c>
      <c r="K10">
        <v>65</v>
      </c>
      <c r="L10">
        <v>65</v>
      </c>
      <c r="M10">
        <v>54</v>
      </c>
      <c r="N10">
        <f t="shared" si="1"/>
        <v>720</v>
      </c>
      <c r="O10" s="4">
        <f t="shared" si="2"/>
        <v>72</v>
      </c>
      <c r="P10">
        <f t="shared" si="3"/>
        <v>65</v>
      </c>
      <c r="Q10">
        <f t="shared" si="4"/>
        <v>90</v>
      </c>
      <c r="R10">
        <f t="shared" si="5"/>
        <v>45</v>
      </c>
      <c r="S10" t="str">
        <f t="shared" si="0"/>
        <v>PASS</v>
      </c>
    </row>
    <row r="11" spans="1:19" x14ac:dyDescent="0.25">
      <c r="A11" t="s">
        <v>31</v>
      </c>
      <c r="B11" t="s">
        <v>34</v>
      </c>
      <c r="C11">
        <v>54</v>
      </c>
      <c r="D11">
        <v>76</v>
      </c>
      <c r="E11">
        <v>89</v>
      </c>
      <c r="F11">
        <v>80</v>
      </c>
      <c r="G11">
        <v>76</v>
      </c>
      <c r="H11">
        <v>90</v>
      </c>
      <c r="I11">
        <v>65</v>
      </c>
      <c r="J11">
        <v>54</v>
      </c>
      <c r="K11">
        <v>65</v>
      </c>
      <c r="L11">
        <v>78</v>
      </c>
      <c r="M11">
        <v>65</v>
      </c>
      <c r="N11">
        <f t="shared" si="1"/>
        <v>792</v>
      </c>
      <c r="O11" s="4">
        <f t="shared" si="2"/>
        <v>79.2</v>
      </c>
      <c r="P11">
        <f t="shared" si="3"/>
        <v>65</v>
      </c>
      <c r="Q11">
        <f t="shared" si="4"/>
        <v>90</v>
      </c>
      <c r="R11">
        <f t="shared" si="5"/>
        <v>54</v>
      </c>
      <c r="S11" t="str">
        <f t="shared" si="0"/>
        <v>PASS</v>
      </c>
    </row>
    <row r="12" spans="1:19" x14ac:dyDescent="0.25">
      <c r="A12" t="s">
        <v>35</v>
      </c>
      <c r="B12" t="s">
        <v>36</v>
      </c>
      <c r="C12">
        <v>55</v>
      </c>
      <c r="D12">
        <v>67</v>
      </c>
      <c r="E12">
        <v>89</v>
      </c>
      <c r="F12">
        <v>76</v>
      </c>
      <c r="G12">
        <v>75</v>
      </c>
      <c r="H12">
        <v>54</v>
      </c>
      <c r="I12">
        <v>34</v>
      </c>
      <c r="J12">
        <v>54</v>
      </c>
      <c r="K12">
        <v>56</v>
      </c>
      <c r="L12">
        <v>79</v>
      </c>
      <c r="M12">
        <v>78</v>
      </c>
      <c r="N12">
        <f t="shared" si="1"/>
        <v>717</v>
      </c>
      <c r="O12" s="4">
        <f t="shared" si="2"/>
        <v>71.7</v>
      </c>
      <c r="P12">
        <f t="shared" si="3"/>
        <v>54</v>
      </c>
      <c r="Q12">
        <f t="shared" si="4"/>
        <v>89</v>
      </c>
      <c r="R12">
        <f t="shared" si="5"/>
        <v>34</v>
      </c>
      <c r="S12" t="str">
        <f t="shared" si="0"/>
        <v>PASS</v>
      </c>
    </row>
    <row r="13" spans="1:19" x14ac:dyDescent="0.25">
      <c r="A13" t="s">
        <v>37</v>
      </c>
      <c r="B13" t="s">
        <v>21</v>
      </c>
      <c r="C13">
        <v>65</v>
      </c>
      <c r="D13">
        <v>54</v>
      </c>
      <c r="E13">
        <v>76</v>
      </c>
      <c r="F13">
        <v>87</v>
      </c>
      <c r="G13">
        <v>98</v>
      </c>
      <c r="H13">
        <v>90</v>
      </c>
      <c r="I13">
        <v>87</v>
      </c>
      <c r="J13">
        <v>65</v>
      </c>
      <c r="K13">
        <v>65</v>
      </c>
      <c r="L13">
        <v>54</v>
      </c>
      <c r="M13">
        <v>45</v>
      </c>
      <c r="N13">
        <f t="shared" si="1"/>
        <v>786</v>
      </c>
      <c r="O13" s="4">
        <f t="shared" si="2"/>
        <v>78.599999999999994</v>
      </c>
      <c r="P13">
        <f t="shared" si="3"/>
        <v>65</v>
      </c>
      <c r="Q13">
        <f t="shared" si="4"/>
        <v>98</v>
      </c>
      <c r="R13">
        <f t="shared" si="5"/>
        <v>45</v>
      </c>
      <c r="S13" t="str">
        <f t="shared" si="0"/>
        <v>PASS</v>
      </c>
    </row>
    <row r="14" spans="1:19" x14ac:dyDescent="0.25">
      <c r="A14" t="s">
        <v>38</v>
      </c>
      <c r="B14" t="s">
        <v>25</v>
      </c>
      <c r="C14">
        <v>54</v>
      </c>
      <c r="D14">
        <v>67</v>
      </c>
      <c r="E14">
        <v>89</v>
      </c>
      <c r="F14">
        <v>90</v>
      </c>
      <c r="G14">
        <v>65</v>
      </c>
      <c r="H14">
        <v>45</v>
      </c>
      <c r="I14">
        <v>65</v>
      </c>
      <c r="J14">
        <v>78</v>
      </c>
      <c r="K14">
        <v>98</v>
      </c>
      <c r="L14">
        <v>60</v>
      </c>
      <c r="M14">
        <v>78</v>
      </c>
      <c r="N14">
        <f t="shared" si="1"/>
        <v>789</v>
      </c>
      <c r="O14" s="4">
        <f t="shared" si="2"/>
        <v>78.900000000000006</v>
      </c>
      <c r="P14">
        <f t="shared" si="3"/>
        <v>65</v>
      </c>
      <c r="Q14">
        <f t="shared" si="4"/>
        <v>98</v>
      </c>
      <c r="R14">
        <f t="shared" si="5"/>
        <v>45</v>
      </c>
      <c r="S14" t="str">
        <f t="shared" si="0"/>
        <v>PASS</v>
      </c>
    </row>
    <row r="15" spans="1:19" x14ac:dyDescent="0.25">
      <c r="A15" t="s">
        <v>39</v>
      </c>
      <c r="B15" t="s">
        <v>40</v>
      </c>
      <c r="C15">
        <v>45</v>
      </c>
      <c r="D15">
        <v>78</v>
      </c>
      <c r="E15">
        <v>90</v>
      </c>
      <c r="F15">
        <v>54</v>
      </c>
      <c r="G15">
        <v>74</v>
      </c>
      <c r="H15">
        <v>76</v>
      </c>
      <c r="I15">
        <v>65</v>
      </c>
      <c r="J15">
        <v>78</v>
      </c>
      <c r="K15">
        <v>98</v>
      </c>
      <c r="L15" t="s">
        <v>99</v>
      </c>
      <c r="M15">
        <v>65</v>
      </c>
      <c r="N15">
        <f t="shared" si="1"/>
        <v>723</v>
      </c>
      <c r="O15" s="4">
        <f t="shared" si="2"/>
        <v>72.3</v>
      </c>
      <c r="P15">
        <f t="shared" si="3"/>
        <v>78</v>
      </c>
      <c r="Q15">
        <f t="shared" si="4"/>
        <v>98</v>
      </c>
      <c r="R15">
        <f t="shared" si="5"/>
        <v>45</v>
      </c>
      <c r="S15" t="str">
        <f t="shared" si="0"/>
        <v>PASS</v>
      </c>
    </row>
    <row r="16" spans="1:19" x14ac:dyDescent="0.25">
      <c r="A16" t="s">
        <v>41</v>
      </c>
      <c r="B16" t="s">
        <v>42</v>
      </c>
      <c r="C16">
        <v>70</v>
      </c>
      <c r="D16">
        <v>76</v>
      </c>
      <c r="E16">
        <v>75</v>
      </c>
      <c r="F16">
        <v>65</v>
      </c>
      <c r="G16">
        <v>54</v>
      </c>
      <c r="H16">
        <v>80</v>
      </c>
      <c r="I16">
        <v>76</v>
      </c>
      <c r="J16">
        <v>65</v>
      </c>
      <c r="K16">
        <v>76</v>
      </c>
      <c r="L16">
        <v>89</v>
      </c>
      <c r="M16">
        <v>65</v>
      </c>
      <c r="N16">
        <f t="shared" si="1"/>
        <v>791</v>
      </c>
      <c r="O16" s="4">
        <f t="shared" si="2"/>
        <v>79.099999999999994</v>
      </c>
      <c r="P16">
        <f t="shared" si="3"/>
        <v>76</v>
      </c>
      <c r="Q16">
        <f t="shared" si="4"/>
        <v>89</v>
      </c>
      <c r="R16">
        <f t="shared" si="5"/>
        <v>54</v>
      </c>
      <c r="S16" t="str">
        <f t="shared" si="0"/>
        <v>PASS</v>
      </c>
    </row>
    <row r="17" spans="1:19" x14ac:dyDescent="0.25">
      <c r="A17" t="s">
        <v>43</v>
      </c>
      <c r="B17" t="s">
        <v>44</v>
      </c>
      <c r="C17">
        <v>54</v>
      </c>
      <c r="D17">
        <v>76</v>
      </c>
      <c r="E17">
        <v>87</v>
      </c>
      <c r="F17">
        <v>90</v>
      </c>
      <c r="G17">
        <v>76</v>
      </c>
      <c r="H17">
        <v>65</v>
      </c>
      <c r="I17">
        <v>54</v>
      </c>
      <c r="J17">
        <v>67</v>
      </c>
      <c r="K17">
        <v>87</v>
      </c>
      <c r="L17">
        <v>76</v>
      </c>
      <c r="M17">
        <v>89</v>
      </c>
      <c r="N17">
        <f t="shared" si="1"/>
        <v>821</v>
      </c>
      <c r="O17" s="4">
        <f t="shared" si="2"/>
        <v>82.1</v>
      </c>
      <c r="P17">
        <f t="shared" si="3"/>
        <v>76</v>
      </c>
      <c r="Q17">
        <f t="shared" si="4"/>
        <v>90</v>
      </c>
      <c r="R17">
        <f t="shared" si="5"/>
        <v>54</v>
      </c>
      <c r="S17" t="str">
        <f t="shared" si="0"/>
        <v>PASS</v>
      </c>
    </row>
    <row r="18" spans="1:19" x14ac:dyDescent="0.25">
      <c r="A18" t="s">
        <v>45</v>
      </c>
      <c r="B18" t="s">
        <v>46</v>
      </c>
      <c r="C18">
        <v>43</v>
      </c>
      <c r="D18">
        <v>39</v>
      </c>
      <c r="E18">
        <v>40</v>
      </c>
      <c r="F18">
        <v>59</v>
      </c>
      <c r="G18">
        <v>76</v>
      </c>
      <c r="H18">
        <v>89</v>
      </c>
      <c r="I18">
        <v>76</v>
      </c>
      <c r="J18">
        <v>65</v>
      </c>
      <c r="K18">
        <v>89</v>
      </c>
      <c r="L18">
        <v>56</v>
      </c>
      <c r="M18">
        <v>54</v>
      </c>
      <c r="N18">
        <f t="shared" si="1"/>
        <v>686</v>
      </c>
      <c r="O18" s="4">
        <f t="shared" si="2"/>
        <v>68.599999999999994</v>
      </c>
      <c r="P18">
        <f t="shared" si="3"/>
        <v>76</v>
      </c>
      <c r="Q18">
        <f t="shared" si="4"/>
        <v>89</v>
      </c>
      <c r="R18">
        <f t="shared" si="5"/>
        <v>39</v>
      </c>
      <c r="S18" t="str">
        <f t="shared" si="0"/>
        <v>PASS</v>
      </c>
    </row>
    <row r="19" spans="1:19" x14ac:dyDescent="0.25">
      <c r="A19" t="s">
        <v>47</v>
      </c>
      <c r="B19" t="s">
        <v>48</v>
      </c>
      <c r="C19">
        <v>80</v>
      </c>
      <c r="D19">
        <v>56</v>
      </c>
      <c r="E19">
        <v>78</v>
      </c>
      <c r="F19">
        <v>98</v>
      </c>
      <c r="G19">
        <v>76</v>
      </c>
      <c r="H19">
        <v>87</v>
      </c>
      <c r="I19">
        <v>54</v>
      </c>
      <c r="J19">
        <v>35</v>
      </c>
      <c r="K19">
        <v>39</v>
      </c>
      <c r="L19">
        <v>70</v>
      </c>
      <c r="M19">
        <v>81</v>
      </c>
      <c r="N19">
        <f t="shared" si="1"/>
        <v>754</v>
      </c>
      <c r="O19" s="4">
        <f t="shared" si="2"/>
        <v>75.400000000000006</v>
      </c>
      <c r="P19" t="e">
        <f t="shared" si="3"/>
        <v>#N/A</v>
      </c>
      <c r="Q19">
        <f t="shared" si="4"/>
        <v>98</v>
      </c>
      <c r="R19">
        <f t="shared" si="5"/>
        <v>35</v>
      </c>
      <c r="S19" t="str">
        <f t="shared" si="0"/>
        <v>PASS</v>
      </c>
    </row>
    <row r="20" spans="1:19" x14ac:dyDescent="0.25">
      <c r="A20" t="s">
        <v>49</v>
      </c>
      <c r="B20" t="s">
        <v>40</v>
      </c>
      <c r="C20">
        <v>37</v>
      </c>
      <c r="D20">
        <v>76</v>
      </c>
      <c r="E20">
        <v>56</v>
      </c>
      <c r="F20">
        <v>94</v>
      </c>
      <c r="G20">
        <v>70</v>
      </c>
      <c r="H20">
        <v>65</v>
      </c>
      <c r="I20">
        <v>54</v>
      </c>
      <c r="J20">
        <v>76</v>
      </c>
      <c r="K20">
        <v>89</v>
      </c>
      <c r="L20">
        <v>67</v>
      </c>
      <c r="M20">
        <v>80</v>
      </c>
      <c r="N20">
        <f t="shared" si="1"/>
        <v>764</v>
      </c>
      <c r="O20" s="4">
        <f t="shared" si="2"/>
        <v>76.400000000000006</v>
      </c>
      <c r="P20">
        <f t="shared" si="3"/>
        <v>76</v>
      </c>
      <c r="Q20">
        <f t="shared" si="4"/>
        <v>94</v>
      </c>
      <c r="R20">
        <f t="shared" si="5"/>
        <v>37</v>
      </c>
      <c r="S20" t="str">
        <f t="shared" si="0"/>
        <v>PASS</v>
      </c>
    </row>
    <row r="21" spans="1:19" x14ac:dyDescent="0.25">
      <c r="A21" t="s">
        <v>50</v>
      </c>
      <c r="B21" t="s">
        <v>27</v>
      </c>
      <c r="C21">
        <v>90</v>
      </c>
      <c r="D21">
        <v>56</v>
      </c>
      <c r="E21">
        <v>76</v>
      </c>
      <c r="F21">
        <v>89</v>
      </c>
      <c r="G21">
        <v>65</v>
      </c>
      <c r="H21">
        <v>56</v>
      </c>
      <c r="I21">
        <v>78</v>
      </c>
      <c r="J21">
        <v>89</v>
      </c>
      <c r="K21">
        <v>65</v>
      </c>
      <c r="L21">
        <v>80</v>
      </c>
      <c r="M21">
        <v>54</v>
      </c>
      <c r="N21">
        <f t="shared" si="1"/>
        <v>798</v>
      </c>
      <c r="O21" s="4">
        <f t="shared" si="2"/>
        <v>79.8</v>
      </c>
      <c r="P21">
        <f t="shared" si="3"/>
        <v>56</v>
      </c>
      <c r="Q21">
        <f t="shared" si="4"/>
        <v>90</v>
      </c>
      <c r="R21">
        <f t="shared" si="5"/>
        <v>54</v>
      </c>
      <c r="S21" t="str">
        <f t="shared" si="0"/>
        <v>PASS</v>
      </c>
    </row>
    <row r="22" spans="1:19" x14ac:dyDescent="0.25">
      <c r="A22" t="s">
        <v>51</v>
      </c>
      <c r="B22" t="s">
        <v>25</v>
      </c>
      <c r="C22">
        <v>56</v>
      </c>
      <c r="D22">
        <v>76</v>
      </c>
      <c r="E22">
        <v>89</v>
      </c>
      <c r="F22">
        <v>90</v>
      </c>
      <c r="G22">
        <v>76</v>
      </c>
      <c r="H22">
        <v>75</v>
      </c>
      <c r="I22">
        <v>76</v>
      </c>
      <c r="J22">
        <v>79</v>
      </c>
      <c r="K22">
        <v>90</v>
      </c>
      <c r="L22">
        <v>65</v>
      </c>
      <c r="M22">
        <v>76</v>
      </c>
      <c r="N22">
        <f t="shared" si="1"/>
        <v>848</v>
      </c>
      <c r="O22" s="4">
        <f t="shared" si="2"/>
        <v>84.8</v>
      </c>
      <c r="P22">
        <f t="shared" si="3"/>
        <v>76</v>
      </c>
      <c r="Q22">
        <f t="shared" si="4"/>
        <v>90</v>
      </c>
      <c r="R22">
        <f t="shared" si="5"/>
        <v>56</v>
      </c>
      <c r="S22" t="str">
        <f t="shared" si="0"/>
        <v>PASS</v>
      </c>
    </row>
    <row r="23" spans="1:19" x14ac:dyDescent="0.25">
      <c r="A23" t="s">
        <v>52</v>
      </c>
      <c r="B23" t="s">
        <v>53</v>
      </c>
      <c r="C23">
        <v>54</v>
      </c>
      <c r="D23">
        <v>67</v>
      </c>
      <c r="E23">
        <v>89</v>
      </c>
      <c r="F23">
        <v>76</v>
      </c>
      <c r="G23">
        <v>65</v>
      </c>
      <c r="H23">
        <v>78</v>
      </c>
      <c r="I23">
        <v>65</v>
      </c>
      <c r="J23">
        <v>87</v>
      </c>
      <c r="K23">
        <v>87</v>
      </c>
      <c r="L23">
        <v>56</v>
      </c>
      <c r="M23">
        <v>87</v>
      </c>
      <c r="N23">
        <f t="shared" si="1"/>
        <v>811</v>
      </c>
      <c r="O23" s="4">
        <f t="shared" si="2"/>
        <v>81.099999999999994</v>
      </c>
      <c r="P23">
        <f t="shared" si="3"/>
        <v>87</v>
      </c>
      <c r="Q23">
        <f t="shared" si="4"/>
        <v>89</v>
      </c>
      <c r="R23">
        <f t="shared" si="5"/>
        <v>54</v>
      </c>
      <c r="S23" t="str">
        <f t="shared" si="0"/>
        <v>PASS</v>
      </c>
    </row>
    <row r="24" spans="1:19" x14ac:dyDescent="0.25">
      <c r="A24" t="s">
        <v>54</v>
      </c>
      <c r="B24" t="s">
        <v>55</v>
      </c>
      <c r="C24">
        <v>43</v>
      </c>
      <c r="D24">
        <v>56</v>
      </c>
      <c r="E24">
        <v>76</v>
      </c>
      <c r="F24">
        <v>89</v>
      </c>
      <c r="G24">
        <v>90</v>
      </c>
      <c r="H24">
        <v>76</v>
      </c>
      <c r="I24">
        <v>54</v>
      </c>
      <c r="J24">
        <v>45</v>
      </c>
      <c r="K24">
        <v>67</v>
      </c>
      <c r="L24">
        <v>87</v>
      </c>
      <c r="M24">
        <v>87</v>
      </c>
      <c r="N24">
        <f t="shared" si="1"/>
        <v>770</v>
      </c>
      <c r="O24" s="4">
        <f t="shared" si="2"/>
        <v>77</v>
      </c>
      <c r="P24">
        <f t="shared" si="3"/>
        <v>76</v>
      </c>
      <c r="Q24">
        <f t="shared" si="4"/>
        <v>90</v>
      </c>
      <c r="R24">
        <f t="shared" si="5"/>
        <v>43</v>
      </c>
      <c r="S24" t="str">
        <f t="shared" si="0"/>
        <v>PASS</v>
      </c>
    </row>
    <row r="25" spans="1:19" x14ac:dyDescent="0.25">
      <c r="A25" t="s">
        <v>56</v>
      </c>
      <c r="B25" t="s">
        <v>57</v>
      </c>
      <c r="C25">
        <v>80</v>
      </c>
      <c r="D25">
        <v>67</v>
      </c>
      <c r="E25">
        <v>65</v>
      </c>
      <c r="F25">
        <v>65</v>
      </c>
      <c r="G25">
        <v>66</v>
      </c>
      <c r="H25">
        <v>60</v>
      </c>
      <c r="I25">
        <v>79</v>
      </c>
      <c r="J25">
        <v>75</v>
      </c>
      <c r="K25">
        <v>45</v>
      </c>
      <c r="L25">
        <v>67</v>
      </c>
      <c r="M25">
        <v>39</v>
      </c>
      <c r="N25">
        <f t="shared" si="1"/>
        <v>708</v>
      </c>
      <c r="O25" s="4">
        <f t="shared" si="2"/>
        <v>70.8</v>
      </c>
      <c r="P25">
        <f t="shared" si="3"/>
        <v>67</v>
      </c>
      <c r="Q25">
        <f t="shared" si="4"/>
        <v>80</v>
      </c>
      <c r="R25">
        <f t="shared" si="5"/>
        <v>39</v>
      </c>
      <c r="S25" t="str">
        <f t="shared" si="0"/>
        <v>PASS</v>
      </c>
    </row>
    <row r="26" spans="1:19" x14ac:dyDescent="0.25">
      <c r="A26" t="s">
        <v>58</v>
      </c>
      <c r="B26" t="s">
        <v>59</v>
      </c>
      <c r="C26">
        <v>78</v>
      </c>
      <c r="D26">
        <v>25</v>
      </c>
      <c r="E26">
        <v>45</v>
      </c>
      <c r="F26">
        <v>67</v>
      </c>
      <c r="G26">
        <v>78</v>
      </c>
      <c r="H26">
        <v>89</v>
      </c>
      <c r="I26">
        <v>67</v>
      </c>
      <c r="J26">
        <v>45</v>
      </c>
      <c r="K26">
        <v>56</v>
      </c>
      <c r="L26">
        <v>66</v>
      </c>
      <c r="M26">
        <v>78</v>
      </c>
      <c r="N26">
        <f t="shared" si="1"/>
        <v>694</v>
      </c>
      <c r="O26" s="4">
        <f t="shared" si="2"/>
        <v>69.400000000000006</v>
      </c>
      <c r="P26">
        <f t="shared" si="3"/>
        <v>78</v>
      </c>
      <c r="Q26">
        <f t="shared" si="4"/>
        <v>89</v>
      </c>
      <c r="R26">
        <f t="shared" si="5"/>
        <v>25</v>
      </c>
      <c r="S26" t="str">
        <f t="shared" si="0"/>
        <v>PASS</v>
      </c>
    </row>
    <row r="27" spans="1:19" x14ac:dyDescent="0.25">
      <c r="A27" t="s">
        <v>60</v>
      </c>
      <c r="B27" t="s">
        <v>61</v>
      </c>
      <c r="C27">
        <v>56</v>
      </c>
      <c r="D27">
        <v>78</v>
      </c>
      <c r="E27">
        <v>98</v>
      </c>
      <c r="F27">
        <v>67</v>
      </c>
      <c r="G27">
        <v>78</v>
      </c>
      <c r="H27">
        <v>76</v>
      </c>
      <c r="I27">
        <v>56</v>
      </c>
      <c r="J27">
        <v>54</v>
      </c>
      <c r="K27">
        <v>54</v>
      </c>
      <c r="L27">
        <v>76</v>
      </c>
      <c r="M27">
        <v>67</v>
      </c>
      <c r="N27">
        <f t="shared" si="1"/>
        <v>760</v>
      </c>
      <c r="O27" s="4">
        <f t="shared" si="2"/>
        <v>76</v>
      </c>
      <c r="P27">
        <f t="shared" si="3"/>
        <v>56</v>
      </c>
      <c r="Q27">
        <f t="shared" si="4"/>
        <v>98</v>
      </c>
      <c r="R27">
        <f t="shared" si="5"/>
        <v>54</v>
      </c>
      <c r="S27" t="str">
        <f t="shared" si="0"/>
        <v>PASS</v>
      </c>
    </row>
    <row r="28" spans="1:19" x14ac:dyDescent="0.25">
      <c r="A28" t="s">
        <v>62</v>
      </c>
      <c r="B28" t="s">
        <v>27</v>
      </c>
      <c r="C28">
        <v>67</v>
      </c>
      <c r="D28">
        <v>87</v>
      </c>
      <c r="E28">
        <v>90</v>
      </c>
      <c r="F28">
        <v>76</v>
      </c>
      <c r="G28">
        <v>54</v>
      </c>
      <c r="H28">
        <v>76</v>
      </c>
      <c r="I28">
        <v>98</v>
      </c>
      <c r="J28">
        <v>90</v>
      </c>
      <c r="K28">
        <v>76</v>
      </c>
      <c r="L28">
        <v>75</v>
      </c>
      <c r="M28">
        <v>56</v>
      </c>
      <c r="N28">
        <f t="shared" si="1"/>
        <v>845</v>
      </c>
      <c r="O28" s="4">
        <f t="shared" si="2"/>
        <v>84.5</v>
      </c>
      <c r="P28">
        <f t="shared" si="3"/>
        <v>76</v>
      </c>
      <c r="Q28">
        <f t="shared" si="4"/>
        <v>98</v>
      </c>
      <c r="R28">
        <f t="shared" si="5"/>
        <v>54</v>
      </c>
      <c r="S28" t="str">
        <f t="shared" si="0"/>
        <v>PASS</v>
      </c>
    </row>
    <row r="29" spans="1:19" x14ac:dyDescent="0.25">
      <c r="A29" t="s">
        <v>63</v>
      </c>
      <c r="B29" t="s">
        <v>22</v>
      </c>
      <c r="C29">
        <v>67</v>
      </c>
      <c r="D29">
        <v>75</v>
      </c>
      <c r="E29">
        <v>80</v>
      </c>
      <c r="F29">
        <v>60</v>
      </c>
      <c r="G29">
        <v>73</v>
      </c>
      <c r="H29">
        <v>65</v>
      </c>
      <c r="I29">
        <v>76</v>
      </c>
      <c r="J29">
        <v>67</v>
      </c>
      <c r="K29">
        <v>80</v>
      </c>
      <c r="L29">
        <v>73</v>
      </c>
      <c r="M29">
        <v>75</v>
      </c>
      <c r="N29">
        <f t="shared" si="1"/>
        <v>791</v>
      </c>
      <c r="O29" s="4">
        <f t="shared" si="2"/>
        <v>79.099999999999994</v>
      </c>
      <c r="P29">
        <f t="shared" si="3"/>
        <v>67</v>
      </c>
      <c r="Q29">
        <f t="shared" si="4"/>
        <v>80</v>
      </c>
      <c r="R29">
        <f t="shared" si="5"/>
        <v>60</v>
      </c>
      <c r="S29" t="str">
        <f t="shared" si="0"/>
        <v>PASS</v>
      </c>
    </row>
    <row r="30" spans="1:19" x14ac:dyDescent="0.25">
      <c r="A30" t="s">
        <v>64</v>
      </c>
      <c r="B30" t="s">
        <v>25</v>
      </c>
      <c r="C30">
        <v>67</v>
      </c>
      <c r="D30">
        <v>75</v>
      </c>
      <c r="E30">
        <v>80</v>
      </c>
      <c r="F30">
        <v>60</v>
      </c>
      <c r="G30">
        <v>73</v>
      </c>
      <c r="H30">
        <v>65</v>
      </c>
      <c r="I30">
        <v>76</v>
      </c>
      <c r="J30">
        <v>67</v>
      </c>
      <c r="K30">
        <v>80</v>
      </c>
      <c r="L30">
        <v>65</v>
      </c>
      <c r="M30">
        <v>75</v>
      </c>
      <c r="N30">
        <f t="shared" si="1"/>
        <v>783</v>
      </c>
      <c r="O30" s="4">
        <f t="shared" si="2"/>
        <v>78.3</v>
      </c>
      <c r="P30">
        <f t="shared" si="3"/>
        <v>67</v>
      </c>
      <c r="Q30">
        <f t="shared" si="4"/>
        <v>80</v>
      </c>
      <c r="R30">
        <f t="shared" si="5"/>
        <v>60</v>
      </c>
      <c r="S30" t="str">
        <f t="shared" si="0"/>
        <v>PASS</v>
      </c>
    </row>
    <row r="31" spans="1:19" x14ac:dyDescent="0.25">
      <c r="A31" t="s">
        <v>65</v>
      </c>
      <c r="B31" t="s">
        <v>66</v>
      </c>
      <c r="C31">
        <v>67</v>
      </c>
      <c r="D31">
        <v>75</v>
      </c>
      <c r="E31">
        <v>65</v>
      </c>
      <c r="F31">
        <v>71</v>
      </c>
      <c r="G31">
        <v>73</v>
      </c>
      <c r="H31">
        <v>65</v>
      </c>
      <c r="I31">
        <v>76</v>
      </c>
      <c r="J31">
        <v>67</v>
      </c>
      <c r="K31">
        <v>80</v>
      </c>
      <c r="L31">
        <v>87</v>
      </c>
      <c r="M31">
        <v>75</v>
      </c>
      <c r="N31">
        <f t="shared" si="1"/>
        <v>801</v>
      </c>
      <c r="O31" s="4">
        <f t="shared" si="2"/>
        <v>80.099999999999994</v>
      </c>
      <c r="P31">
        <f t="shared" si="3"/>
        <v>67</v>
      </c>
      <c r="Q31">
        <f t="shared" si="4"/>
        <v>87</v>
      </c>
      <c r="R31">
        <f t="shared" si="5"/>
        <v>65</v>
      </c>
      <c r="S31" t="str">
        <f t="shared" si="0"/>
        <v>PASS</v>
      </c>
    </row>
    <row r="32" spans="1:19" x14ac:dyDescent="0.25">
      <c r="A32" t="s">
        <v>67</v>
      </c>
      <c r="B32" t="s">
        <v>40</v>
      </c>
      <c r="C32">
        <v>67</v>
      </c>
      <c r="D32">
        <v>80</v>
      </c>
      <c r="E32">
        <v>78</v>
      </c>
      <c r="F32">
        <v>68</v>
      </c>
      <c r="G32">
        <v>71</v>
      </c>
      <c r="H32">
        <v>61</v>
      </c>
      <c r="I32">
        <v>76</v>
      </c>
      <c r="J32">
        <v>67</v>
      </c>
      <c r="K32">
        <v>65</v>
      </c>
      <c r="L32">
        <v>66</v>
      </c>
      <c r="M32">
        <v>75</v>
      </c>
      <c r="N32">
        <f t="shared" si="1"/>
        <v>774</v>
      </c>
      <c r="O32" s="4">
        <f t="shared" si="2"/>
        <v>77.400000000000006</v>
      </c>
      <c r="P32">
        <f t="shared" si="3"/>
        <v>67</v>
      </c>
      <c r="Q32">
        <f t="shared" si="4"/>
        <v>80</v>
      </c>
      <c r="R32">
        <f t="shared" si="5"/>
        <v>61</v>
      </c>
      <c r="S32" t="str">
        <f t="shared" si="0"/>
        <v>PASS</v>
      </c>
    </row>
    <row r="33" spans="1:19" x14ac:dyDescent="0.25">
      <c r="A33" t="s">
        <v>68</v>
      </c>
      <c r="B33" t="s">
        <v>46</v>
      </c>
      <c r="C33">
        <v>67</v>
      </c>
      <c r="D33">
        <v>56</v>
      </c>
      <c r="E33">
        <v>56</v>
      </c>
      <c r="F33">
        <v>71</v>
      </c>
      <c r="G33">
        <v>70</v>
      </c>
      <c r="H33">
        <v>65</v>
      </c>
      <c r="I33">
        <v>76</v>
      </c>
      <c r="J33">
        <v>76</v>
      </c>
      <c r="K33">
        <v>78</v>
      </c>
      <c r="L33">
        <v>65</v>
      </c>
      <c r="M33">
        <v>75</v>
      </c>
      <c r="N33">
        <f t="shared" si="1"/>
        <v>755</v>
      </c>
      <c r="O33" s="4">
        <f t="shared" si="2"/>
        <v>75.5</v>
      </c>
      <c r="P33">
        <f t="shared" si="3"/>
        <v>56</v>
      </c>
      <c r="Q33">
        <f t="shared" si="4"/>
        <v>78</v>
      </c>
      <c r="R33">
        <f t="shared" si="5"/>
        <v>56</v>
      </c>
      <c r="S33" t="str">
        <f t="shared" si="0"/>
        <v>PASS</v>
      </c>
    </row>
    <row r="34" spans="1:19" x14ac:dyDescent="0.25">
      <c r="A34" t="s">
        <v>69</v>
      </c>
      <c r="B34" t="s">
        <v>57</v>
      </c>
      <c r="C34">
        <v>67</v>
      </c>
      <c r="D34">
        <v>67</v>
      </c>
      <c r="E34">
        <v>71</v>
      </c>
      <c r="F34">
        <v>60</v>
      </c>
      <c r="G34">
        <v>67</v>
      </c>
      <c r="H34">
        <v>65</v>
      </c>
      <c r="I34">
        <v>56</v>
      </c>
      <c r="J34">
        <v>73</v>
      </c>
      <c r="K34">
        <v>67</v>
      </c>
      <c r="L34">
        <v>63</v>
      </c>
      <c r="M34">
        <v>75</v>
      </c>
      <c r="N34">
        <f t="shared" si="1"/>
        <v>731</v>
      </c>
      <c r="O34" s="4">
        <f t="shared" si="2"/>
        <v>73.099999999999994</v>
      </c>
      <c r="P34">
        <f t="shared" si="3"/>
        <v>67</v>
      </c>
      <c r="Q34">
        <f t="shared" si="4"/>
        <v>75</v>
      </c>
      <c r="R34">
        <f t="shared" si="5"/>
        <v>56</v>
      </c>
      <c r="S34" t="str">
        <f t="shared" si="0"/>
        <v>PASS</v>
      </c>
    </row>
    <row r="35" spans="1:19" x14ac:dyDescent="0.25">
      <c r="A35" t="s">
        <v>70</v>
      </c>
      <c r="B35" t="s">
        <v>27</v>
      </c>
      <c r="C35">
        <v>56</v>
      </c>
      <c r="D35">
        <v>56</v>
      </c>
      <c r="E35">
        <v>54</v>
      </c>
      <c r="F35">
        <v>60</v>
      </c>
      <c r="G35">
        <v>80</v>
      </c>
      <c r="H35">
        <v>45</v>
      </c>
      <c r="I35">
        <v>76</v>
      </c>
      <c r="J35">
        <v>66</v>
      </c>
      <c r="K35">
        <v>76</v>
      </c>
      <c r="L35">
        <v>64</v>
      </c>
      <c r="M35">
        <v>75</v>
      </c>
      <c r="N35">
        <f t="shared" si="1"/>
        <v>708</v>
      </c>
      <c r="O35" s="4">
        <f t="shared" si="2"/>
        <v>70.8</v>
      </c>
      <c r="P35">
        <f t="shared" si="3"/>
        <v>56</v>
      </c>
      <c r="Q35">
        <f t="shared" si="4"/>
        <v>80</v>
      </c>
      <c r="R35">
        <f t="shared" si="5"/>
        <v>45</v>
      </c>
      <c r="S35" t="str">
        <f t="shared" si="0"/>
        <v>PASS</v>
      </c>
    </row>
    <row r="36" spans="1:19" x14ac:dyDescent="0.25">
      <c r="A36" t="s">
        <v>71</v>
      </c>
      <c r="B36" t="s">
        <v>21</v>
      </c>
      <c r="C36">
        <v>76</v>
      </c>
      <c r="D36">
        <v>73</v>
      </c>
      <c r="E36">
        <v>80</v>
      </c>
      <c r="F36">
        <v>60</v>
      </c>
      <c r="G36">
        <v>73</v>
      </c>
      <c r="H36">
        <v>65</v>
      </c>
      <c r="I36">
        <v>76</v>
      </c>
      <c r="J36">
        <v>63</v>
      </c>
      <c r="K36">
        <v>54</v>
      </c>
      <c r="L36">
        <v>65</v>
      </c>
      <c r="M36">
        <v>75</v>
      </c>
      <c r="N36">
        <f t="shared" si="1"/>
        <v>760</v>
      </c>
      <c r="O36" s="4">
        <f t="shared" si="2"/>
        <v>76</v>
      </c>
      <c r="P36">
        <f t="shared" si="3"/>
        <v>76</v>
      </c>
      <c r="Q36">
        <f t="shared" si="4"/>
        <v>80</v>
      </c>
      <c r="R36">
        <f t="shared" si="5"/>
        <v>54</v>
      </c>
      <c r="S36" t="str">
        <f t="shared" si="0"/>
        <v>PASS</v>
      </c>
    </row>
    <row r="37" spans="1:19" x14ac:dyDescent="0.25">
      <c r="A37" t="s">
        <v>72</v>
      </c>
      <c r="B37" t="s">
        <v>29</v>
      </c>
      <c r="C37">
        <v>85</v>
      </c>
      <c r="D37">
        <v>61</v>
      </c>
      <c r="E37">
        <v>80</v>
      </c>
      <c r="F37">
        <v>65</v>
      </c>
      <c r="G37">
        <v>73</v>
      </c>
      <c r="H37">
        <v>56</v>
      </c>
      <c r="I37">
        <v>76</v>
      </c>
      <c r="J37">
        <v>65</v>
      </c>
      <c r="K37">
        <v>65</v>
      </c>
      <c r="L37">
        <v>76</v>
      </c>
      <c r="M37">
        <v>75</v>
      </c>
      <c r="N37">
        <f t="shared" si="1"/>
        <v>777</v>
      </c>
      <c r="O37" s="4">
        <f t="shared" si="2"/>
        <v>77.7</v>
      </c>
      <c r="P37">
        <f t="shared" si="3"/>
        <v>65</v>
      </c>
      <c r="Q37">
        <f t="shared" si="4"/>
        <v>85</v>
      </c>
      <c r="R37">
        <f t="shared" si="5"/>
        <v>56</v>
      </c>
      <c r="S37" t="str">
        <f t="shared" si="0"/>
        <v>PASS</v>
      </c>
    </row>
    <row r="38" spans="1:19" x14ac:dyDescent="0.25">
      <c r="A38" t="s">
        <v>73</v>
      </c>
      <c r="B38" t="s">
        <v>40</v>
      </c>
      <c r="C38">
        <v>67</v>
      </c>
      <c r="D38">
        <v>67</v>
      </c>
      <c r="E38">
        <v>80</v>
      </c>
      <c r="F38">
        <v>56</v>
      </c>
      <c r="G38">
        <v>73</v>
      </c>
      <c r="H38">
        <v>76</v>
      </c>
      <c r="I38">
        <v>50</v>
      </c>
      <c r="J38">
        <v>67</v>
      </c>
      <c r="K38">
        <v>76</v>
      </c>
      <c r="L38">
        <v>71</v>
      </c>
      <c r="M38">
        <v>75</v>
      </c>
      <c r="N38">
        <f t="shared" si="1"/>
        <v>758</v>
      </c>
      <c r="O38" s="4">
        <f t="shared" si="2"/>
        <v>75.8</v>
      </c>
      <c r="P38">
        <f t="shared" si="3"/>
        <v>67</v>
      </c>
      <c r="Q38">
        <f t="shared" si="4"/>
        <v>80</v>
      </c>
      <c r="R38">
        <f t="shared" si="5"/>
        <v>50</v>
      </c>
      <c r="S38" t="str">
        <f t="shared" si="0"/>
        <v>PASS</v>
      </c>
    </row>
    <row r="39" spans="1:19" x14ac:dyDescent="0.25">
      <c r="A39" t="s">
        <v>74</v>
      </c>
      <c r="B39" t="s">
        <v>75</v>
      </c>
      <c r="C39">
        <v>65</v>
      </c>
      <c r="D39">
        <v>78</v>
      </c>
      <c r="E39">
        <v>43</v>
      </c>
      <c r="F39">
        <v>71</v>
      </c>
      <c r="G39">
        <v>73</v>
      </c>
      <c r="H39">
        <v>65</v>
      </c>
      <c r="I39">
        <v>76</v>
      </c>
      <c r="J39">
        <v>67</v>
      </c>
      <c r="K39">
        <v>80</v>
      </c>
      <c r="L39">
        <v>81</v>
      </c>
      <c r="M39">
        <v>75</v>
      </c>
      <c r="N39">
        <f t="shared" si="1"/>
        <v>774</v>
      </c>
      <c r="O39" s="4">
        <f t="shared" si="2"/>
        <v>77.400000000000006</v>
      </c>
      <c r="P39">
        <f t="shared" si="3"/>
        <v>65</v>
      </c>
      <c r="Q39">
        <f t="shared" si="4"/>
        <v>81</v>
      </c>
      <c r="R39">
        <f t="shared" si="5"/>
        <v>43</v>
      </c>
      <c r="S39" t="str">
        <f t="shared" si="0"/>
        <v>PASS</v>
      </c>
    </row>
    <row r="40" spans="1:19" x14ac:dyDescent="0.25">
      <c r="A40" t="s">
        <v>76</v>
      </c>
      <c r="B40" t="s">
        <v>72</v>
      </c>
      <c r="C40">
        <v>67</v>
      </c>
      <c r="D40">
        <v>75</v>
      </c>
      <c r="E40">
        <v>35</v>
      </c>
      <c r="F40">
        <v>54</v>
      </c>
      <c r="G40">
        <v>65</v>
      </c>
      <c r="H40">
        <v>45</v>
      </c>
      <c r="I40">
        <v>76</v>
      </c>
      <c r="J40">
        <v>67</v>
      </c>
      <c r="K40">
        <v>80</v>
      </c>
      <c r="L40">
        <v>51</v>
      </c>
      <c r="M40">
        <v>71</v>
      </c>
      <c r="N40">
        <f t="shared" si="1"/>
        <v>686</v>
      </c>
      <c r="O40" s="4">
        <f t="shared" si="2"/>
        <v>68.599999999999994</v>
      </c>
      <c r="P40">
        <f t="shared" si="3"/>
        <v>67</v>
      </c>
      <c r="Q40">
        <f t="shared" si="4"/>
        <v>80</v>
      </c>
      <c r="R40">
        <f t="shared" si="5"/>
        <v>35</v>
      </c>
      <c r="S40" t="str">
        <f t="shared" si="0"/>
        <v>PASS</v>
      </c>
    </row>
    <row r="41" spans="1:19" x14ac:dyDescent="0.25">
      <c r="A41" t="s">
        <v>77</v>
      </c>
      <c r="B41" t="s">
        <v>46</v>
      </c>
      <c r="C41">
        <v>67</v>
      </c>
      <c r="D41">
        <v>75</v>
      </c>
      <c r="E41">
        <v>28</v>
      </c>
      <c r="F41">
        <v>60</v>
      </c>
      <c r="G41">
        <v>61</v>
      </c>
      <c r="H41">
        <v>70</v>
      </c>
      <c r="I41">
        <v>45</v>
      </c>
      <c r="J41">
        <v>67</v>
      </c>
      <c r="K41">
        <v>80</v>
      </c>
      <c r="L41">
        <v>49</v>
      </c>
      <c r="M41">
        <v>67</v>
      </c>
      <c r="N41">
        <f t="shared" si="1"/>
        <v>669</v>
      </c>
      <c r="O41" s="4">
        <f t="shared" si="2"/>
        <v>66.900000000000006</v>
      </c>
      <c r="P41">
        <f t="shared" si="3"/>
        <v>67</v>
      </c>
      <c r="Q41">
        <f t="shared" si="4"/>
        <v>80</v>
      </c>
      <c r="R41">
        <f t="shared" si="5"/>
        <v>28</v>
      </c>
      <c r="S41" t="str">
        <f t="shared" si="0"/>
        <v>PASS</v>
      </c>
    </row>
    <row r="42" spans="1:19" x14ac:dyDescent="0.25">
      <c r="A42" t="s">
        <v>78</v>
      </c>
      <c r="B42" t="s">
        <v>79</v>
      </c>
      <c r="C42">
        <v>45</v>
      </c>
      <c r="D42">
        <v>75</v>
      </c>
      <c r="E42">
        <v>56</v>
      </c>
      <c r="F42">
        <v>60</v>
      </c>
      <c r="G42">
        <v>56</v>
      </c>
      <c r="H42">
        <v>65</v>
      </c>
      <c r="I42">
        <v>76</v>
      </c>
      <c r="J42">
        <v>56</v>
      </c>
      <c r="K42">
        <v>80</v>
      </c>
      <c r="L42">
        <v>47</v>
      </c>
      <c r="M42">
        <v>81</v>
      </c>
      <c r="N42">
        <f t="shared" si="1"/>
        <v>697</v>
      </c>
      <c r="O42" s="4">
        <f t="shared" si="2"/>
        <v>69.7</v>
      </c>
      <c r="P42">
        <f t="shared" si="3"/>
        <v>56</v>
      </c>
      <c r="Q42">
        <f t="shared" si="4"/>
        <v>81</v>
      </c>
      <c r="R42">
        <f t="shared" si="5"/>
        <v>45</v>
      </c>
      <c r="S42" t="str">
        <f t="shared" si="0"/>
        <v>PASS</v>
      </c>
    </row>
    <row r="43" spans="1:19" x14ac:dyDescent="0.25">
      <c r="A43" t="s">
        <v>80</v>
      </c>
      <c r="B43" t="s">
        <v>81</v>
      </c>
      <c r="C43">
        <v>67</v>
      </c>
      <c r="D43">
        <v>66</v>
      </c>
      <c r="E43">
        <v>80</v>
      </c>
      <c r="F43">
        <v>60</v>
      </c>
      <c r="G43">
        <v>39</v>
      </c>
      <c r="H43">
        <v>64</v>
      </c>
      <c r="I43">
        <v>30</v>
      </c>
      <c r="J43">
        <v>56</v>
      </c>
      <c r="K43">
        <v>81</v>
      </c>
      <c r="L43">
        <v>48</v>
      </c>
      <c r="M43">
        <v>65</v>
      </c>
      <c r="N43">
        <f t="shared" si="1"/>
        <v>656</v>
      </c>
      <c r="O43" s="4">
        <f t="shared" si="2"/>
        <v>65.599999999999994</v>
      </c>
      <c r="P43" t="e">
        <f t="shared" si="3"/>
        <v>#N/A</v>
      </c>
      <c r="Q43">
        <f t="shared" si="4"/>
        <v>81</v>
      </c>
      <c r="R43">
        <f t="shared" si="5"/>
        <v>30</v>
      </c>
      <c r="S43" t="str">
        <f t="shared" si="0"/>
        <v>PASS</v>
      </c>
    </row>
    <row r="44" spans="1:19" x14ac:dyDescent="0.25">
      <c r="A44" t="s">
        <v>82</v>
      </c>
      <c r="B44" t="s">
        <v>83</v>
      </c>
      <c r="C44">
        <v>67</v>
      </c>
      <c r="D44">
        <v>45</v>
      </c>
      <c r="E44">
        <v>80</v>
      </c>
      <c r="F44">
        <v>60</v>
      </c>
      <c r="G44">
        <v>73</v>
      </c>
      <c r="H44">
        <v>65</v>
      </c>
      <c r="I44">
        <v>76</v>
      </c>
      <c r="J44">
        <v>76</v>
      </c>
      <c r="K44">
        <v>65</v>
      </c>
      <c r="L44">
        <v>70</v>
      </c>
      <c r="M44">
        <v>76</v>
      </c>
      <c r="N44">
        <f t="shared" si="1"/>
        <v>753</v>
      </c>
      <c r="O44" s="4">
        <f t="shared" si="2"/>
        <v>75.3</v>
      </c>
      <c r="P44">
        <f t="shared" si="3"/>
        <v>76</v>
      </c>
      <c r="Q44">
        <f t="shared" si="4"/>
        <v>80</v>
      </c>
      <c r="R44">
        <f t="shared" si="5"/>
        <v>45</v>
      </c>
      <c r="S44" t="str">
        <f t="shared" si="0"/>
        <v>PASS</v>
      </c>
    </row>
    <row r="45" spans="1:19" x14ac:dyDescent="0.25">
      <c r="A45" t="s">
        <v>84</v>
      </c>
      <c r="B45" t="s">
        <v>85</v>
      </c>
      <c r="C45">
        <v>71</v>
      </c>
      <c r="D45">
        <v>81</v>
      </c>
      <c r="E45">
        <v>80</v>
      </c>
      <c r="F45">
        <v>80</v>
      </c>
      <c r="G45">
        <v>73</v>
      </c>
      <c r="H45">
        <v>70</v>
      </c>
      <c r="I45">
        <v>76</v>
      </c>
      <c r="J45">
        <v>65</v>
      </c>
      <c r="K45">
        <v>56</v>
      </c>
      <c r="L45">
        <v>75</v>
      </c>
      <c r="M45">
        <v>65</v>
      </c>
      <c r="N45">
        <f t="shared" si="1"/>
        <v>792</v>
      </c>
      <c r="O45" s="4">
        <f t="shared" si="2"/>
        <v>79.2</v>
      </c>
      <c r="P45">
        <f t="shared" si="3"/>
        <v>80</v>
      </c>
      <c r="Q45">
        <f t="shared" si="4"/>
        <v>81</v>
      </c>
      <c r="R45">
        <f t="shared" si="5"/>
        <v>56</v>
      </c>
      <c r="S45" t="str">
        <f t="shared" si="0"/>
        <v>PASS</v>
      </c>
    </row>
    <row r="46" spans="1:19" x14ac:dyDescent="0.25">
      <c r="A46" t="s">
        <v>86</v>
      </c>
      <c r="B46" t="s">
        <v>72</v>
      </c>
      <c r="C46">
        <v>45</v>
      </c>
      <c r="D46">
        <v>61</v>
      </c>
      <c r="E46">
        <v>80</v>
      </c>
      <c r="F46">
        <v>28</v>
      </c>
      <c r="G46">
        <v>73</v>
      </c>
      <c r="H46">
        <v>65</v>
      </c>
      <c r="I46">
        <v>80</v>
      </c>
      <c r="J46">
        <v>54</v>
      </c>
      <c r="K46">
        <v>54</v>
      </c>
      <c r="L46">
        <v>75</v>
      </c>
      <c r="M46">
        <v>54</v>
      </c>
      <c r="N46">
        <f t="shared" si="1"/>
        <v>669</v>
      </c>
      <c r="O46" s="4">
        <f t="shared" si="2"/>
        <v>66.900000000000006</v>
      </c>
      <c r="P46">
        <f t="shared" si="3"/>
        <v>54</v>
      </c>
      <c r="Q46">
        <f t="shared" si="4"/>
        <v>80</v>
      </c>
      <c r="R46">
        <f t="shared" si="5"/>
        <v>28</v>
      </c>
      <c r="S46" t="str">
        <f t="shared" si="0"/>
        <v>PASS</v>
      </c>
    </row>
    <row r="47" spans="1:19" x14ac:dyDescent="0.25">
      <c r="A47" t="s">
        <v>87</v>
      </c>
      <c r="B47" t="s">
        <v>88</v>
      </c>
      <c r="C47">
        <v>67</v>
      </c>
      <c r="D47">
        <v>75</v>
      </c>
      <c r="E47">
        <v>56</v>
      </c>
      <c r="F47">
        <v>35</v>
      </c>
      <c r="G47">
        <v>73</v>
      </c>
      <c r="H47">
        <v>65</v>
      </c>
      <c r="I47">
        <v>76</v>
      </c>
      <c r="J47">
        <v>54</v>
      </c>
      <c r="K47">
        <v>65</v>
      </c>
      <c r="L47">
        <v>75</v>
      </c>
      <c r="M47">
        <v>75</v>
      </c>
      <c r="N47">
        <f t="shared" si="1"/>
        <v>716</v>
      </c>
      <c r="O47" s="4">
        <f t="shared" si="2"/>
        <v>71.599999999999994</v>
      </c>
      <c r="P47">
        <f t="shared" si="3"/>
        <v>75</v>
      </c>
      <c r="Q47">
        <f t="shared" si="4"/>
        <v>76</v>
      </c>
      <c r="R47">
        <f t="shared" si="5"/>
        <v>35</v>
      </c>
      <c r="S47" t="str">
        <f t="shared" si="0"/>
        <v>PASS</v>
      </c>
    </row>
    <row r="48" spans="1:19" x14ac:dyDescent="0.25">
      <c r="A48" t="s">
        <v>89</v>
      </c>
      <c r="B48" t="s">
        <v>90</v>
      </c>
      <c r="C48">
        <v>66</v>
      </c>
      <c r="D48">
        <v>75</v>
      </c>
      <c r="E48">
        <v>71</v>
      </c>
      <c r="F48">
        <v>40</v>
      </c>
      <c r="G48">
        <v>56</v>
      </c>
      <c r="H48">
        <v>61</v>
      </c>
      <c r="I48">
        <v>76</v>
      </c>
      <c r="J48">
        <v>67</v>
      </c>
      <c r="K48">
        <v>80</v>
      </c>
      <c r="L48">
        <v>75</v>
      </c>
      <c r="M48">
        <v>71</v>
      </c>
      <c r="N48">
        <f t="shared" si="1"/>
        <v>738</v>
      </c>
      <c r="O48" s="4">
        <f t="shared" si="2"/>
        <v>73.8</v>
      </c>
      <c r="P48">
        <f t="shared" si="3"/>
        <v>75</v>
      </c>
      <c r="Q48">
        <f t="shared" si="4"/>
        <v>80</v>
      </c>
      <c r="R48">
        <f t="shared" si="5"/>
        <v>40</v>
      </c>
      <c r="S48" t="str">
        <f t="shared" si="0"/>
        <v>PASS</v>
      </c>
    </row>
    <row r="49" spans="1:19" x14ac:dyDescent="0.25">
      <c r="A49" t="s">
        <v>91</v>
      </c>
      <c r="B49" t="s">
        <v>40</v>
      </c>
      <c r="C49">
        <v>76</v>
      </c>
      <c r="D49">
        <v>65</v>
      </c>
      <c r="E49">
        <v>53</v>
      </c>
      <c r="F49">
        <v>65</v>
      </c>
      <c r="G49">
        <v>57</v>
      </c>
      <c r="H49">
        <v>65</v>
      </c>
      <c r="I49">
        <v>54</v>
      </c>
      <c r="J49">
        <v>67</v>
      </c>
      <c r="K49">
        <v>80</v>
      </c>
      <c r="L49">
        <v>67</v>
      </c>
      <c r="M49">
        <v>75</v>
      </c>
      <c r="N49">
        <f t="shared" si="1"/>
        <v>724</v>
      </c>
      <c r="O49" s="4">
        <f t="shared" si="2"/>
        <v>72.400000000000006</v>
      </c>
      <c r="P49">
        <f t="shared" si="3"/>
        <v>65</v>
      </c>
      <c r="Q49">
        <f t="shared" si="4"/>
        <v>80</v>
      </c>
      <c r="R49">
        <f t="shared" si="5"/>
        <v>53</v>
      </c>
      <c r="S49" t="str">
        <f t="shared" si="0"/>
        <v>PASS</v>
      </c>
    </row>
    <row r="50" spans="1:19" x14ac:dyDescent="0.25">
      <c r="A50" t="s">
        <v>92</v>
      </c>
      <c r="B50" t="s">
        <v>21</v>
      </c>
      <c r="C50">
        <v>68</v>
      </c>
      <c r="D50">
        <v>80</v>
      </c>
      <c r="E50">
        <v>71</v>
      </c>
      <c r="F50">
        <v>45</v>
      </c>
      <c r="G50">
        <v>67</v>
      </c>
      <c r="H50">
        <v>65</v>
      </c>
      <c r="I50">
        <v>76</v>
      </c>
      <c r="J50">
        <v>67</v>
      </c>
      <c r="K50">
        <v>80</v>
      </c>
      <c r="L50">
        <v>76</v>
      </c>
      <c r="M50">
        <v>73</v>
      </c>
      <c r="N50">
        <f t="shared" si="1"/>
        <v>768</v>
      </c>
      <c r="O50" s="4">
        <f t="shared" si="2"/>
        <v>76.8</v>
      </c>
      <c r="P50">
        <f t="shared" si="3"/>
        <v>80</v>
      </c>
      <c r="Q50">
        <f t="shared" si="4"/>
        <v>80</v>
      </c>
      <c r="R50">
        <f t="shared" si="5"/>
        <v>45</v>
      </c>
      <c r="S50" t="str">
        <f t="shared" si="0"/>
        <v>PASS</v>
      </c>
    </row>
    <row r="51" spans="1:19" x14ac:dyDescent="0.25">
      <c r="A51" t="s">
        <v>93</v>
      </c>
      <c r="B51" t="s">
        <v>46</v>
      </c>
      <c r="C51">
        <v>71</v>
      </c>
      <c r="D51">
        <v>75</v>
      </c>
      <c r="E51">
        <v>80</v>
      </c>
      <c r="F51">
        <v>67</v>
      </c>
      <c r="G51">
        <v>73</v>
      </c>
      <c r="H51">
        <v>50</v>
      </c>
      <c r="I51">
        <v>71</v>
      </c>
      <c r="J51">
        <v>43</v>
      </c>
      <c r="K51">
        <v>80</v>
      </c>
      <c r="L51">
        <v>65</v>
      </c>
      <c r="M51">
        <v>75</v>
      </c>
      <c r="N51">
        <f t="shared" si="1"/>
        <v>750</v>
      </c>
      <c r="O51" s="4">
        <f t="shared" si="2"/>
        <v>75</v>
      </c>
      <c r="P51">
        <f t="shared" si="3"/>
        <v>71</v>
      </c>
      <c r="Q51">
        <f t="shared" si="4"/>
        <v>80</v>
      </c>
      <c r="R51">
        <f t="shared" si="5"/>
        <v>43</v>
      </c>
      <c r="S51" t="str">
        <f t="shared" si="0"/>
        <v>PASS</v>
      </c>
    </row>
    <row r="52" spans="1:19" x14ac:dyDescent="0.25">
      <c r="N52">
        <f>SUM(C52:M52)</f>
        <v>0</v>
      </c>
      <c r="O52" s="4">
        <f>AVERAGE(N52/10)</f>
        <v>0</v>
      </c>
      <c r="P52" t="e">
        <f>MODE(C52:M52)</f>
        <v>#N/A</v>
      </c>
      <c r="Q52">
        <f>MAX(C52:M52)</f>
        <v>0</v>
      </c>
      <c r="R52">
        <f>MIN(C52:M52)</f>
        <v>0</v>
      </c>
      <c r="S52" s="5" t="str">
        <f>IF(N52&gt;=650,"PASS","FAIL")</f>
        <v>FAIL</v>
      </c>
    </row>
    <row r="53" spans="1:19" x14ac:dyDescent="0.25">
      <c r="A53" s="1" t="s">
        <v>13</v>
      </c>
      <c r="C53">
        <f>AVERAGE(C2:C52)</f>
        <v>63.64</v>
      </c>
      <c r="D53">
        <f t="shared" ref="D53:M53" si="6">AVERAGE(D2:D51)</f>
        <v>68.599999999999994</v>
      </c>
      <c r="E53">
        <f t="shared" si="6"/>
        <v>73.56</v>
      </c>
      <c r="F53">
        <f t="shared" si="6"/>
        <v>67.680000000000007</v>
      </c>
      <c r="G53">
        <f t="shared" si="6"/>
        <v>69.040000000000006</v>
      </c>
      <c r="H53">
        <f t="shared" si="6"/>
        <v>67.3</v>
      </c>
      <c r="I53">
        <f t="shared" si="6"/>
        <v>66.62</v>
      </c>
      <c r="J53">
        <f t="shared" si="6"/>
        <v>65.459999999999994</v>
      </c>
      <c r="K53">
        <f t="shared" si="6"/>
        <v>72.22</v>
      </c>
      <c r="L53">
        <f t="shared" si="6"/>
        <v>70.448979591836732</v>
      </c>
      <c r="M53">
        <f t="shared" si="6"/>
        <v>69.599999999999994</v>
      </c>
      <c r="O53" s="4"/>
    </row>
    <row r="54" spans="1:19" x14ac:dyDescent="0.25">
      <c r="A54" s="1" t="s">
        <v>14</v>
      </c>
      <c r="C54">
        <f t="shared" ref="C54:M54" si="7">MODE(C2:C51)</f>
        <v>67</v>
      </c>
      <c r="D54">
        <f t="shared" si="7"/>
        <v>75</v>
      </c>
      <c r="E54">
        <f t="shared" si="7"/>
        <v>80</v>
      </c>
      <c r="F54">
        <f t="shared" si="7"/>
        <v>60</v>
      </c>
      <c r="G54">
        <f t="shared" si="7"/>
        <v>73</v>
      </c>
      <c r="H54">
        <f t="shared" si="7"/>
        <v>65</v>
      </c>
      <c r="I54">
        <f t="shared" si="7"/>
        <v>76</v>
      </c>
      <c r="J54">
        <f t="shared" si="7"/>
        <v>67</v>
      </c>
      <c r="K54">
        <f t="shared" si="7"/>
        <v>80</v>
      </c>
      <c r="L54">
        <f t="shared" si="7"/>
        <v>65</v>
      </c>
      <c r="M54">
        <f t="shared" si="7"/>
        <v>75</v>
      </c>
      <c r="O54" s="4"/>
    </row>
    <row r="55" spans="1:19" x14ac:dyDescent="0.25">
      <c r="A55" s="1" t="s">
        <v>15</v>
      </c>
      <c r="C55">
        <f t="shared" ref="C55:M55" si="8">MAX(C2:C51)</f>
        <v>90</v>
      </c>
      <c r="D55">
        <f t="shared" si="8"/>
        <v>87</v>
      </c>
      <c r="E55">
        <f t="shared" si="8"/>
        <v>98</v>
      </c>
      <c r="F55">
        <f t="shared" si="8"/>
        <v>98</v>
      </c>
      <c r="G55">
        <f t="shared" si="8"/>
        <v>98</v>
      </c>
      <c r="H55">
        <f t="shared" si="8"/>
        <v>90</v>
      </c>
      <c r="I55">
        <f t="shared" si="8"/>
        <v>98</v>
      </c>
      <c r="J55">
        <f t="shared" si="8"/>
        <v>90</v>
      </c>
      <c r="K55">
        <f t="shared" si="8"/>
        <v>98</v>
      </c>
      <c r="L55">
        <f t="shared" si="8"/>
        <v>98</v>
      </c>
      <c r="M55" s="4">
        <f t="shared" si="8"/>
        <v>89</v>
      </c>
      <c r="O55" s="4"/>
    </row>
    <row r="56" spans="1:19" x14ac:dyDescent="0.25">
      <c r="A56" s="1" t="s">
        <v>16</v>
      </c>
      <c r="C56">
        <f>MIN(C2:C52)</f>
        <v>37</v>
      </c>
      <c r="D56">
        <f t="shared" ref="D56:M56" si="9">MIN(D2:D51)</f>
        <v>25</v>
      </c>
      <c r="E56">
        <f t="shared" si="9"/>
        <v>28</v>
      </c>
      <c r="F56">
        <f t="shared" si="9"/>
        <v>28</v>
      </c>
      <c r="G56">
        <f t="shared" si="9"/>
        <v>39</v>
      </c>
      <c r="H56">
        <f t="shared" si="9"/>
        <v>34</v>
      </c>
      <c r="I56">
        <f t="shared" si="9"/>
        <v>30</v>
      </c>
      <c r="J56">
        <f t="shared" si="9"/>
        <v>35</v>
      </c>
      <c r="K56">
        <f t="shared" si="9"/>
        <v>39</v>
      </c>
      <c r="L56">
        <f t="shared" si="9"/>
        <v>47</v>
      </c>
      <c r="M56">
        <f t="shared" si="9"/>
        <v>39</v>
      </c>
      <c r="O56" s="4"/>
    </row>
    <row r="57" spans="1:19" x14ac:dyDescent="0.25">
      <c r="A57" s="1" t="s">
        <v>94</v>
      </c>
      <c r="C57">
        <f>ROUND(C53,1)</f>
        <v>63.6</v>
      </c>
      <c r="D57">
        <f>ROUND(D53,1)</f>
        <v>68.599999999999994</v>
      </c>
      <c r="E57">
        <f t="shared" ref="E57:M57" si="10">ROUND(E53,1)</f>
        <v>73.599999999999994</v>
      </c>
      <c r="F57">
        <f t="shared" si="10"/>
        <v>67.7</v>
      </c>
      <c r="G57">
        <f t="shared" si="10"/>
        <v>69</v>
      </c>
      <c r="H57">
        <f t="shared" si="10"/>
        <v>67.3</v>
      </c>
      <c r="I57">
        <f t="shared" si="10"/>
        <v>66.599999999999994</v>
      </c>
      <c r="J57">
        <f t="shared" si="10"/>
        <v>65.5</v>
      </c>
      <c r="K57">
        <f t="shared" si="10"/>
        <v>72.2</v>
      </c>
      <c r="L57">
        <f t="shared" si="10"/>
        <v>70.400000000000006</v>
      </c>
      <c r="M57">
        <f t="shared" si="10"/>
        <v>69.599999999999994</v>
      </c>
      <c r="O57" s="4"/>
    </row>
    <row r="58" spans="1:19" x14ac:dyDescent="0.25">
      <c r="A58" s="1" t="s">
        <v>95</v>
      </c>
      <c r="C58">
        <f>SUMIF(C2:C52,"&gt;=60")</f>
        <v>2337</v>
      </c>
      <c r="D58">
        <f>SUMIF(D2:D52,"&gt;=60")</f>
        <v>2931</v>
      </c>
      <c r="E58">
        <f>SUMIF(E2:E52,"&gt;=60")</f>
        <v>3156</v>
      </c>
      <c r="F58">
        <f t="shared" ref="F58:M58" si="11">SUMIF(F2:F51,"&gt;=60")</f>
        <v>2850</v>
      </c>
      <c r="G58">
        <f t="shared" si="11"/>
        <v>2972</v>
      </c>
      <c r="H58">
        <f t="shared" si="11"/>
        <v>2892</v>
      </c>
      <c r="I58">
        <f t="shared" si="11"/>
        <v>2658</v>
      </c>
      <c r="J58">
        <f t="shared" si="11"/>
        <v>2515</v>
      </c>
      <c r="K58">
        <f t="shared" si="11"/>
        <v>3197</v>
      </c>
      <c r="L58">
        <f t="shared" si="11"/>
        <v>3035</v>
      </c>
      <c r="M58">
        <f t="shared" si="11"/>
        <v>2978</v>
      </c>
      <c r="O58" s="4"/>
    </row>
    <row r="59" spans="1:19" x14ac:dyDescent="0.25">
      <c r="O59" s="4"/>
    </row>
    <row r="60" spans="1:19" x14ac:dyDescent="0.25">
      <c r="A60" s="1" t="s">
        <v>96</v>
      </c>
      <c r="C60">
        <f>COUNT(A1:S58)</f>
        <v>867</v>
      </c>
      <c r="O60" s="4"/>
    </row>
    <row r="61" spans="1:19" x14ac:dyDescent="0.25">
      <c r="A61" s="1" t="s">
        <v>97</v>
      </c>
      <c r="C61">
        <f>COUNTA(A1:S58)</f>
        <v>1047</v>
      </c>
      <c r="O61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2026-10-22T03:33:38Z</dcterms:created>
  <dcterms:modified xsi:type="dcterms:W3CDTF">2026-10-22T03:48:32Z</dcterms:modified>
</cp:coreProperties>
</file>